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\\host.lan\Data\files\tasks\0ffd1edd-38b8-4606-aacd-1aa04e5c3923\"/>
    </mc:Choice>
  </mc:AlternateContent>
  <xr:revisionPtr revIDLastSave="0" documentId="8_{564403C4-169A-4DE0-9812-30C9DC4A5352}" xr6:coauthVersionLast="47" xr6:coauthVersionMax="47" xr10:uidLastSave="{00000000-0000-0000-0000-000000000000}"/>
  <bookViews>
    <workbookView xWindow="-120" yWindow="-120" windowWidth="19440" windowHeight="10440" activeTab="1"/>
  </bookViews>
  <sheets>
    <sheet name="Challan" sheetId="1" r:id="rId1"/>
    <sheet name="Challan_adjustment" sheetId="2" r:id="rId2"/>
    <sheet name="Employee_Salary_Detail" sheetId="3" r:id="rId3"/>
    <sheet name="Section194P(For Senior Citizen)" sheetId="4" r:id="rId4"/>
  </sheets>
  <definedNames>
    <definedName name="_xlnm._FilterDatabase" localSheetId="0" hidden="1">Challan!$A$4:$N$500</definedName>
    <definedName name="_xlnm._FilterDatabase" localSheetId="1" hidden="1">Challan_adjustment!$A$3:$S$126</definedName>
    <definedName name="_xlnm._FilterDatabase" localSheetId="2" hidden="1">Employee_Salary_Detail!$A$4:$BH$14</definedName>
    <definedName name="BSR">Challan!$J$5:$J$65536</definedName>
    <definedName name="Ch_No">Challan!$L$5:$L$65536</definedName>
    <definedName name="Ch_SrNo">Challan!$A$5:$A$65536</definedName>
    <definedName name="CIN">Challan!$S$4:$S$500</definedName>
    <definedName name="Date">Challan!$K$5:$K$65536</definedName>
    <definedName name="date_end">Challan!$W$1</definedName>
    <definedName name="date_start">Challan!$V$1</definedName>
    <definedName name="qtr_end">Challan_adjustment!#REF!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G30" i="2"/>
  <c r="G75" i="2"/>
  <c r="H79" i="2"/>
  <c r="M79" i="2"/>
  <c r="H80" i="2"/>
  <c r="M80" i="2"/>
  <c r="H81" i="2"/>
  <c r="M81" i="2"/>
  <c r="H83" i="2"/>
  <c r="M83" i="2"/>
  <c r="H84" i="2"/>
  <c r="M84" i="2"/>
</calcChain>
</file>

<file path=xl/sharedStrings.xml><?xml version="1.0" encoding="utf-8"?>
<sst xmlns="http://schemas.openxmlformats.org/spreadsheetml/2006/main" count="731" uniqueCount="260">
  <si>
    <t>TAN:</t>
  </si>
  <si>
    <t>DELK26078D</t>
  </si>
  <si>
    <t>Please do not Cut/Copy/Paste (it may cause inconsistancy in data).</t>
  </si>
  <si>
    <t xml:space="preserve">      Details of tax deducted and paid to the credit of the Central Government</t>
  </si>
  <si>
    <t>S. No.</t>
  </si>
  <si>
    <t>TDS (Rs.)</t>
  </si>
  <si>
    <t>Surcharge (Rs.)</t>
  </si>
  <si>
    <t>Education Cess (Rs.)</t>
  </si>
  <si>
    <t>Higher Education Cess (Rs.)</t>
  </si>
  <si>
    <t>Interest (Rs.)</t>
  </si>
  <si>
    <t>Other (Rs.)</t>
  </si>
  <si>
    <t>Fee (Rs.)</t>
  </si>
  <si>
    <t>Cheque/DD No.</t>
  </si>
  <si>
    <t>BSR Code</t>
  </si>
  <si>
    <t>Date on which Tax Deposited</t>
  </si>
  <si>
    <t>Transfer Voucher/ Challan No.</t>
  </si>
  <si>
    <t>Whether TDS deposited by book entry?</t>
  </si>
  <si>
    <t xml:space="preserve">Minor Head </t>
  </si>
  <si>
    <t>6360014</t>
  </si>
  <si>
    <t>00391</t>
  </si>
  <si>
    <t>No</t>
  </si>
  <si>
    <t>200</t>
  </si>
  <si>
    <t>06510</t>
  </si>
  <si>
    <t>50935</t>
  </si>
  <si>
    <t>Leave it blank</t>
  </si>
  <si>
    <t>Select Either (date of deposit,Transfer Voucher/ Challan Serial No.,BSR Code) or (Challan S. No.) 
Must be correspond to Challan Sheet.</t>
  </si>
  <si>
    <t xml:space="preserve"> Serial No.</t>
  </si>
  <si>
    <t>Employee reference No. provided by employer</t>
  </si>
  <si>
    <t xml:space="preserve"> PAN of the employee</t>
  </si>
  <si>
    <t>Name of Employee</t>
  </si>
  <si>
    <t xml:space="preserve">Date of payment / credit </t>
  </si>
  <si>
    <t>Period of Employment     To - Date</t>
  </si>
  <si>
    <t>Taxable amount on which tax deducted Rs.</t>
  </si>
  <si>
    <t>TDS</t>
  </si>
  <si>
    <t>Surcharge</t>
  </si>
  <si>
    <t>Health and Education Cess</t>
  </si>
  <si>
    <t>Higher Education Cess</t>
  </si>
  <si>
    <t>Total Tax Deducted (319+320+321) Rs.</t>
  </si>
  <si>
    <t>Total Tax deposited Rs.</t>
  </si>
  <si>
    <t>Date of deduction</t>
  </si>
  <si>
    <t>date of deposit</t>
  </si>
  <si>
    <t>Transfer Voucher/ Challan Serial No.</t>
  </si>
  <si>
    <t>Challan Detail
[Sr No (BSR, Date, Challan No.)]</t>
  </si>
  <si>
    <t>Reason for non-deduction/ lower deduction</t>
  </si>
  <si>
    <t>Lower Certificate No.</t>
  </si>
  <si>
    <t>327</t>
  </si>
  <si>
    <t>328</t>
  </si>
  <si>
    <t>AFTPV3437J</t>
  </si>
  <si>
    <t>Ajay Verma</t>
  </si>
  <si>
    <t>1  (6360014, 07-Feb-2025, 00391)</t>
  </si>
  <si>
    <t>3  (6360014, 06-Mar-2025, 50935)</t>
  </si>
  <si>
    <t>2  (6360014, 08-Apr-2025, 06510)</t>
  </si>
  <si>
    <t>CFKPV5023B</t>
  </si>
  <si>
    <t>Nidhi Verma</t>
  </si>
  <si>
    <t>AKAPK4890N</t>
  </si>
  <si>
    <t>Ankur Khadaria</t>
  </si>
  <si>
    <t>AJFPM6641P</t>
  </si>
  <si>
    <t>Sonal Kadaria</t>
  </si>
  <si>
    <t>ABMPP4850E</t>
  </si>
  <si>
    <t>Ankur Periwal</t>
  </si>
  <si>
    <t>AGSPR9721M</t>
  </si>
  <si>
    <t>Roma Periwal</t>
  </si>
  <si>
    <t>EJRPS0821P</t>
  </si>
  <si>
    <t>Aditya Sharma</t>
  </si>
  <si>
    <t>ARSPP5131C</t>
  </si>
  <si>
    <t>Mangesh Pimple</t>
  </si>
  <si>
    <t>ATMPM7055J</t>
  </si>
  <si>
    <t>Arun Kumar Mishra</t>
  </si>
  <si>
    <t>BGJPS8611P</t>
  </si>
  <si>
    <t>Narinder Singh</t>
  </si>
  <si>
    <t>ATJPV4976A</t>
  </si>
  <si>
    <t>Vineeth Vasudevan</t>
  </si>
  <si>
    <t>ALHPR7501B</t>
  </si>
  <si>
    <t>SRINI RAMESH</t>
  </si>
  <si>
    <t>AFEPH7637H</t>
  </si>
  <si>
    <t>Hezeebu Pradyumna</t>
  </si>
  <si>
    <t>ACPPI7469G</t>
  </si>
  <si>
    <t>I Vinod</t>
  </si>
  <si>
    <t>ADGPV3135Q</t>
  </si>
  <si>
    <t>C.P. Vinod</t>
  </si>
  <si>
    <t>AVZPP1499G</t>
  </si>
  <si>
    <t>Dibyaranjan Pradhan</t>
  </si>
  <si>
    <t>ANRPP0889L</t>
  </si>
  <si>
    <t>Rajeev Kumar Paul</t>
  </si>
  <si>
    <t>BKLPR1829L</t>
  </si>
  <si>
    <t xml:space="preserve">Rakesh G </t>
  </si>
  <si>
    <t>BOBPS4750P</t>
  </si>
  <si>
    <t>Shariq Ali Siddiqui</t>
  </si>
  <si>
    <t>ADXPT0535H</t>
  </si>
  <si>
    <t>Manoj Kumar Tak</t>
  </si>
  <si>
    <t>JISPS6444B</t>
  </si>
  <si>
    <t>Mangat Singh</t>
  </si>
  <si>
    <t>ATWPK2009G</t>
  </si>
  <si>
    <t>Pavankumar Kondelwar</t>
  </si>
  <si>
    <t>BDGPK4814E</t>
  </si>
  <si>
    <t>Abhijeet Kumar</t>
  </si>
  <si>
    <t>BRGPP7761M</t>
  </si>
  <si>
    <t>Mahesh Vijay Patil</t>
  </si>
  <si>
    <t>DRIPS8421M</t>
  </si>
  <si>
    <t>Sagar Singh</t>
  </si>
  <si>
    <t>EKBPP5994M</t>
  </si>
  <si>
    <t>Shubham Prajapati</t>
  </si>
  <si>
    <t>DREPK9792P</t>
  </si>
  <si>
    <t>Vineet Kumar</t>
  </si>
  <si>
    <t>BOZPS7003H</t>
  </si>
  <si>
    <t>Avnish Shrivastava</t>
  </si>
  <si>
    <t>BHXPS2190C</t>
  </si>
  <si>
    <t>Abhishek Shukla</t>
  </si>
  <si>
    <t>EDCPS1238B</t>
  </si>
  <si>
    <t>Reetu Shukla</t>
  </si>
  <si>
    <t>ALQPT4052J</t>
  </si>
  <si>
    <t>Anand Singh Tomar</t>
  </si>
  <si>
    <t>CACPT9256K</t>
  </si>
  <si>
    <t>Rakhi Tomar</t>
  </si>
  <si>
    <t>AMKPR3195B</t>
  </si>
  <si>
    <t>Anoop Ramteke</t>
  </si>
  <si>
    <t>BPCPP0880H</t>
  </si>
  <si>
    <t>ANUPAM SINGH PARIHAR</t>
  </si>
  <si>
    <t xml:space="preserve"> BCIPS5589M</t>
  </si>
  <si>
    <t>Ashwin Kumar Shah</t>
  </si>
  <si>
    <t>BGMPR6836C</t>
  </si>
  <si>
    <t>Krushnsinh Rathod</t>
  </si>
  <si>
    <t>CLUPK5329P</t>
  </si>
  <si>
    <t>LOKESH CHUGH</t>
  </si>
  <si>
    <t>ENJPK3825F</t>
  </si>
  <si>
    <t>Mukesh Kumar</t>
  </si>
  <si>
    <t>AIWPA2953L</t>
  </si>
  <si>
    <t>TARUN AHUJA</t>
  </si>
  <si>
    <t>CMRPP9843H</t>
  </si>
  <si>
    <t>Vijay Prasad</t>
  </si>
  <si>
    <t>AKZPG9197M</t>
  </si>
  <si>
    <t>Vinay Kumar Gupta</t>
  </si>
  <si>
    <t>Employee PAN</t>
  </si>
  <si>
    <t>Designation of Employee</t>
  </si>
  <si>
    <t>Write 'W' for woman, 'S' for senior citizen, 'O' for super senior citizen, and 'G' for others</t>
  </si>
  <si>
    <t>Period of Employment From - Date</t>
  </si>
  <si>
    <t>Gross Salary as per provisions contained in section 17(1).</t>
  </si>
  <si>
    <t>Value of perquisites under section 17(2) (as per FormNo.12BA, wherever applicable)</t>
  </si>
  <si>
    <t>Profits in lieu of salary under section 17(3) (as per Form No.12BA, wherever applicable)</t>
  </si>
  <si>
    <t>Taxable Amount on which tax is deducted by the current employer(335+336+337)</t>
  </si>
  <si>
    <t>Reported Taxable Amount on which tax is deducted by previous employer(s)</t>
  </si>
  <si>
    <t>Travel conces- sion or assistance under section 10(5)</t>
  </si>
  <si>
    <t>Death- cum- retireme nt gratuity under section 10(10)</t>
  </si>
  <si>
    <t>Commuted value of pension under section 10(10A)</t>
  </si>
  <si>
    <t>Cash equiva- lent of leave salary encash- ment under section 10 (10AA)</t>
  </si>
  <si>
    <t>House rent allowance under section 10(13A)</t>
  </si>
  <si>
    <t>Amount of any other exemption under section 10</t>
  </si>
  <si>
    <t>Total amount of exemption claimed under section 10(340+341+342+343+344+346)</t>
  </si>
  <si>
    <t>Total deduction under section 16(ii)</t>
  </si>
  <si>
    <t>Total deduction under section 16(iii)</t>
  </si>
  <si>
    <t>Income chargeable under the "Salaries" [338+339-(347+348+349+350)]</t>
  </si>
  <si>
    <t>Income (including loss from house property)from house property reported by employee offered for TDS (Section 192(2B)</t>
  </si>
  <si>
    <t>Income under the head other sources offered for TDS as per(Section 192(2B)</t>
  </si>
  <si>
    <t>Gross Total Income(Total of columns 351,352 and 354)</t>
  </si>
  <si>
    <t>Deduction in respect of life insurance premia, contributions to provident fund etc. under section 80C</t>
  </si>
  <si>
    <t>Deduction in respect of contribution to certain pension funds under section 80CCC</t>
  </si>
  <si>
    <t>Deduction in respect of contribution by taxpayer to notified pension scheme under section 80CCD(1)</t>
  </si>
  <si>
    <t>Aggregate amount of deductions under sections 80C, 80CCC and 80CCD (1)(Total to bee limited to amount specifed in section 80CCE</t>
  </si>
  <si>
    <t>Deduction in respect of amount paid or deposited under notified pension scheme under section 80CCD (1B)</t>
  </si>
  <si>
    <t>Deduction in respect of contribution by employer to notified pension scheme under section 80CCD(2)</t>
  </si>
  <si>
    <t>Deduction in respect of health insurance premia under section 80D</t>
  </si>
  <si>
    <t>Deduction in respect of interest on loan taken for higher education under section 80E</t>
  </si>
  <si>
    <t>Total deduction in respect of donations to certain funds, charitable institutions, etc. under section 80G</t>
  </si>
  <si>
    <t>Deduction in respect of interest on deposits in savings account under section 80TTA</t>
  </si>
  <si>
    <t>Amount deductible under any other provision of chapter VI-A</t>
  </si>
  <si>
    <t>Total amount deductible under chapter VI-A [356+357+358 (limited to Rs. 1,50,000)+359+360+361+362+363+364+365]</t>
  </si>
  <si>
    <t>Total taxable income (Column 355 minus 366)</t>
  </si>
  <si>
    <t>Total tax – (i) income-tax on total income</t>
  </si>
  <si>
    <t>Rebate under section 87A, if applicable</t>
  </si>
  <si>
    <t>(ii) surcharge</t>
  </si>
  <si>
    <t>(iii) Health and education cess</t>
  </si>
  <si>
    <t>Income tax  Relief under section 89, when salary etc., is paid in arrear or in advance</t>
  </si>
  <si>
    <t>Net tax payable[368+370+371-(369+372)]</t>
  </si>
  <si>
    <t>Total amount of tax  deducted at source for the whole year  [aggregate of the amount in column 325 of Annexure I for all the four quarters in respect of each employee]</t>
  </si>
  <si>
    <t>Reported amount of tax deducted at source by previous employer(s)/deductor(s) (income in respect of which included in computing total taxable income in column 339)</t>
  </si>
  <si>
    <t>Total amount of tax  deducted at source for the whole year (Total of columns 374 and 375)</t>
  </si>
  <si>
    <t>Shortfall in tax deduction(+)/Excess tax deduction(-)[Column 373 minus 376]</t>
  </si>
  <si>
    <t>Whether house rent allowance claim (aggregate payment) exceeds rupees one lakh during previous year</t>
  </si>
  <si>
    <t>Count of PAN of the landlord</t>
  </si>
  <si>
    <t>PAN of landlord 1</t>
  </si>
  <si>
    <t>Landlord 1 status (if pan of landlord 1 not exist)</t>
  </si>
  <si>
    <t>Name of landlord 1</t>
  </si>
  <si>
    <t>PAN of landlord 2</t>
  </si>
  <si>
    <t>Landlord 2 status (if pan of landlord 2 not exist)</t>
  </si>
  <si>
    <t>Name of landlord 2</t>
  </si>
  <si>
    <t>PAN of landlord 3</t>
  </si>
  <si>
    <t>Landlord 3 status (if pan of landlord 3 not exist)</t>
  </si>
  <si>
    <t>Name of landlord 3</t>
  </si>
  <si>
    <t>PAN of landlord 4</t>
  </si>
  <si>
    <t>Landlord 4 status (if pan of landlord 4 not exist)</t>
  </si>
  <si>
    <t>Name of landlord 4</t>
  </si>
  <si>
    <t>Whether Interest paid  to the lender under the head Income from house property</t>
  </si>
  <si>
    <t>Count of PAN of the lender</t>
  </si>
  <si>
    <t>In case of deduction of interest under the head income from house property - PAN of lender 1</t>
  </si>
  <si>
    <t>lender 1 status (if pan of lender 1 not exist)</t>
  </si>
  <si>
    <t>In case of deduction of interest under the head income from house property - Name of lender 1</t>
  </si>
  <si>
    <t>In case of deduction of interest under the head income from house property - PAN of lender 2</t>
  </si>
  <si>
    <t>lender 2 status (if pan of lender 2 not exist)</t>
  </si>
  <si>
    <t>In case of deduction of interest under the head income from house property - Name of lender 2</t>
  </si>
  <si>
    <t>In case of deduction of interest under the head income from house property - PAN of lender 3</t>
  </si>
  <si>
    <t>lender 3 status (if pan of lender 3 not exist)</t>
  </si>
  <si>
    <t>In case of deduction of interest under the head income from house property - Name of lender 3</t>
  </si>
  <si>
    <t>In case of deduction of interest under the head income from house property - PAN of lender 4</t>
  </si>
  <si>
    <t>lender 4 status (if pan of lender 4 not exist)</t>
  </si>
  <si>
    <t>In case of deduction of interest under the head income from house property - Name of lender 4</t>
  </si>
  <si>
    <t>Whether contributions paid by the trustees of an approved superannuation fund</t>
  </si>
  <si>
    <t>Name of the superannuation fund</t>
  </si>
  <si>
    <t>Date from which the employee has contributed to the superannuation fund</t>
  </si>
  <si>
    <t>Date to which the employee has contributed to the superannuation fund</t>
  </si>
  <si>
    <t>The amount of contribution repaid on account of principal and interest from superannuation fund</t>
  </si>
  <si>
    <t>The average rate of deduction of tax during the preceding three years</t>
  </si>
  <si>
    <t>The amount of tax deducted on repayment of superannuation fund</t>
  </si>
  <si>
    <t>Gross total income including contribution repaid on account of principal and interest from superannuation fund</t>
  </si>
  <si>
    <t>Whether opting for taxation u/s 115BAC?</t>
  </si>
  <si>
    <t xml:space="preserve">Other special allowances under section 10(14) </t>
  </si>
  <si>
    <t>Amount reported as per section 192(2B), of other tax deducted at source or tax collected at source, other than (388)</t>
  </si>
  <si>
    <t>Compulsory Field</t>
  </si>
  <si>
    <t xml:space="preserve">If date is first day of Year, you can leave blank </t>
  </si>
  <si>
    <t xml:space="preserve">If date is last day of year, you can leave blank </t>
  </si>
  <si>
    <t>Leave it blank, Software will automatically calculate it.</t>
  </si>
  <si>
    <t>GROSS AMOUNT</t>
  </si>
  <si>
    <t>DEDUCTIBLE AMOUNT</t>
  </si>
  <si>
    <t>QUALIFIYING AMOUNT</t>
  </si>
  <si>
    <t>If Software automatic calculated value required Leave it blank, else enter manual value.</t>
  </si>
  <si>
    <t>334(1)</t>
  </si>
  <si>
    <t>334(2)</t>
  </si>
  <si>
    <t>345(1)</t>
  </si>
  <si>
    <t>345(2)</t>
  </si>
  <si>
    <t>345(3)</t>
  </si>
  <si>
    <t>345(4)</t>
  </si>
  <si>
    <t>345(5)</t>
  </si>
  <si>
    <t>353(1)</t>
  </si>
  <si>
    <t>353(2)</t>
  </si>
  <si>
    <t>353(3)</t>
  </si>
  <si>
    <t>353(4)</t>
  </si>
  <si>
    <t>Manoj Tak</t>
  </si>
  <si>
    <t>G - Other</t>
  </si>
  <si>
    <t>01/04/2024</t>
  </si>
  <si>
    <t>31/03/2025</t>
  </si>
  <si>
    <t>N - No</t>
  </si>
  <si>
    <t>Y</t>
  </si>
  <si>
    <t>S Ramesh</t>
  </si>
  <si>
    <t>Anupam Singh Parihar</t>
  </si>
  <si>
    <t>Please do not Cut/Copy/Paste (it may cause inconsistancy in data)</t>
  </si>
  <si>
    <t>Category of Deductee i.e. Senior Citizen or Super Senior Citizen</t>
  </si>
  <si>
    <t>Gross Pension as per provisions contained in clause (ii) section 17(1).</t>
  </si>
  <si>
    <t xml:space="preserve">Income chargeable under the "Salaries" </t>
  </si>
  <si>
    <t>Interest Income under the other sources paid by the specified bank</t>
  </si>
  <si>
    <t>Deduction in respect of interest on deposits in savings account under section 80TTB</t>
  </si>
  <si>
    <t>Total amount deductible under chapter VI-A (limited to Rs. 1,50,000)]</t>
  </si>
  <si>
    <t>Net tax payable</t>
  </si>
  <si>
    <t>392</t>
  </si>
  <si>
    <t>393</t>
  </si>
  <si>
    <t>394</t>
  </si>
  <si>
    <t>395</t>
  </si>
  <si>
    <t>396</t>
  </si>
  <si>
    <t>399</t>
  </si>
  <si>
    <t>400</t>
  </si>
  <si>
    <t>401</t>
  </si>
  <si>
    <t>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</si>
</sst>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dd/mm/yyyy"/>
    <numFmt numFmtId="177" formatCode="dd/mm/yyyy;@"/>
    <numFmt numFmtId="178" formatCode="0;[Red]0"/>
  </numFmts>
  <fonts count="31" x14ac:knownFonts="1">
    <font>
      <sz val="10"/>
      <name val="Arial"/>
      <family val="2"/>
    </font>
    <font>
      <sz val="10"/>
      <color indexed="10"/>
      <name val="Arial"/>
      <family val="2"/>
    </font>
    <font>
      <b/>
      <sz val="9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8"/>
      <color indexed="10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10"/>
      <name val="Times New Roman"/>
      <family val="1"/>
    </font>
    <font>
      <sz val="9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4" fillId="0" borderId="0" applyFont="0" applyFill="0"/>
    <xf numFmtId="0" fontId="24" fillId="0" borderId="0" applyFont="0" applyFill="0"/>
    <xf numFmtId="0" fontId="24" fillId="0" borderId="0" applyFont="0" applyFill="0"/>
    <xf numFmtId="0" fontId="24" fillId="0" borderId="0" applyFont="0" applyFill="0"/>
    <xf numFmtId="0" fontId="24" fillId="0" borderId="0" applyFont="0" applyFill="0"/>
    <xf numFmtId="0" fontId="24" fillId="0" borderId="0" applyFont="0" applyFill="0"/>
    <xf numFmtId="0" fontId="24" fillId="0" borderId="0" applyFont="0" applyFill="0"/>
    <xf numFmtId="0" fontId="24" fillId="0" borderId="0" applyFont="0" applyFill="0"/>
    <xf numFmtId="0" fontId="24" fillId="0" borderId="0" applyFont="0" applyFill="0"/>
    <xf numFmtId="0" fontId="24" fillId="0" borderId="0" applyFont="0" applyFill="0"/>
    <xf numFmtId="0" fontId="25" fillId="0" borderId="0" applyFont="0" applyFill="0"/>
    <xf numFmtId="0" fontId="25" fillId="0" borderId="0" applyFont="0" applyFill="0"/>
    <xf numFmtId="0" fontId="25" fillId="0" borderId="0" applyFont="0" applyFill="0"/>
    <xf numFmtId="0" fontId="25" fillId="0" borderId="0" applyFont="0" applyFill="0"/>
    <xf numFmtId="0" fontId="25" fillId="0" borderId="0" applyFont="0" applyFill="0"/>
    <xf numFmtId="0" fontId="25" fillId="0" borderId="0" applyFont="0" applyFill="0"/>
    <xf numFmtId="0" fontId="25" fillId="0" borderId="0" applyFont="0" applyFill="0"/>
    <xf numFmtId="0" fontId="25" fillId="0" borderId="0" applyFont="0" applyFill="0"/>
    <xf numFmtId="0" fontId="25" fillId="0" borderId="0" applyFont="0" applyFill="0"/>
    <xf numFmtId="0" fontId="25" fillId="0" borderId="0" applyFont="0" applyFill="0"/>
    <xf numFmtId="0" fontId="22" fillId="0" borderId="0" applyFont="0" applyFill="0"/>
    <xf numFmtId="0" fontId="17" fillId="0" borderId="2" applyFont="0" applyFill="0" applyBorder="0"/>
    <xf numFmtId="0" fontId="18" fillId="0" borderId="4" applyFont="0" applyFill="0" applyBorder="0"/>
    <xf numFmtId="0" fontId="14" fillId="0" borderId="0" applyFont="0"/>
    <xf numFmtId="0" fontId="21" fillId="0" borderId="0" applyFont="0" applyFill="0"/>
    <xf numFmtId="0" fontId="26" fillId="0" borderId="6" applyFont="0" applyBorder="0"/>
    <xf numFmtId="0" fontId="27" fillId="0" borderId="1" applyFont="0" applyBorder="0"/>
    <xf numFmtId="0" fontId="28" fillId="0" borderId="7" applyFont="0" applyBorder="0"/>
    <xf numFmtId="0" fontId="28" fillId="0" borderId="0" applyFont="0"/>
    <xf numFmtId="0" fontId="15" fillId="0" borderId="2" applyFont="0" applyFill="0" applyBorder="0"/>
    <xf numFmtId="0" fontId="19" fillId="0" borderId="5" applyFont="0" applyBorder="0"/>
    <xf numFmtId="0" fontId="23" fillId="0" borderId="0" applyFont="0" applyFill="0"/>
    <xf numFmtId="0" fontId="30" fillId="0" borderId="8" applyFill="0" applyBorder="0"/>
    <xf numFmtId="0" fontId="16" fillId="0" borderId="3" applyFont="0" applyFill="0" applyBorder="0"/>
    <xf numFmtId="0" fontId="29" fillId="0" borderId="0" applyFont="0"/>
    <xf numFmtId="0" fontId="20" fillId="0" borderId="9" applyFont="0" applyBorder="0"/>
    <xf numFmtId="0" fontId="13" fillId="0" borderId="0" applyFont="0"/>
  </cellStyleXfs>
  <cellXfs count="96">
    <xf numFmtId="0" fontId="0" fillId="0" borderId="0" xfId="0"/>
    <xf numFmtId="49" fontId="0" fillId="0" borderId="0" xfId="0" applyNumberFormat="1" applyProtection="1">
      <protection locked="0"/>
    </xf>
    <xf numFmtId="49" fontId="0" fillId="0" borderId="0" xfId="0" applyNumberFormat="1"/>
    <xf numFmtId="49" fontId="1" fillId="0" borderId="0" xfId="0" applyNumberFormat="1" applyFont="1"/>
    <xf numFmtId="49" fontId="2" fillId="2" borderId="10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0" fillId="2" borderId="10" xfId="0" applyNumberFormat="1" applyFont="1" applyFill="1" applyBorder="1"/>
    <xf numFmtId="49" fontId="6" fillId="2" borderId="10" xfId="0" applyNumberFormat="1" applyFont="1" applyFill="1" applyBorder="1" applyAlignment="1">
      <alignment horizontal="center" vertical="center" wrapText="1"/>
    </xf>
    <xf numFmtId="49" fontId="5" fillId="4" borderId="10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0" fillId="5" borderId="0" xfId="0" applyFill="1" applyProtection="1"/>
    <xf numFmtId="0" fontId="0" fillId="6" borderId="0" xfId="0" applyFill="1" applyProtection="1"/>
    <xf numFmtId="0" fontId="4" fillId="0" borderId="13" xfId="0" applyFont="1" applyBorder="1" applyAlignment="1">
      <alignment horizontal="left"/>
    </xf>
    <xf numFmtId="2" fontId="8" fillId="0" borderId="0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76" fontId="3" fillId="2" borderId="10" xfId="0" applyNumberFormat="1" applyFont="1" applyFill="1" applyBorder="1" applyAlignment="1">
      <alignment horizontal="center" vertical="center" wrapText="1"/>
    </xf>
    <xf numFmtId="176" fontId="2" fillId="2" borderId="10" xfId="0" applyNumberFormat="1" applyFont="1" applyFill="1" applyBorder="1" applyAlignment="1">
      <alignment horizontal="center" vertical="center" wrapText="1"/>
    </xf>
    <xf numFmtId="176" fontId="5" fillId="2" borderId="10" xfId="0" applyNumberFormat="1" applyFont="1" applyFill="1" applyBorder="1" applyAlignment="1">
      <alignment horizontal="center" vertical="center" wrapText="1"/>
    </xf>
    <xf numFmtId="176" fontId="5" fillId="4" borderId="10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0" fillId="0" borderId="0" xfId="0" applyFont="1" applyProtection="1">
      <protection locked="0"/>
    </xf>
    <xf numFmtId="176" fontId="9" fillId="2" borderId="10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Protection="1">
      <protection locked="0"/>
    </xf>
    <xf numFmtId="0" fontId="4" fillId="2" borderId="10" xfId="0" applyFont="1" applyFill="1" applyBorder="1" applyAlignment="1">
      <alignment horizontal="center" vertical="center" wrapText="1"/>
    </xf>
    <xf numFmtId="2" fontId="6" fillId="2" borderId="10" xfId="0" applyNumberFormat="1" applyFont="1" applyFill="1" applyBorder="1" applyAlignment="1">
      <alignment horizontal="center" vertical="center" wrapText="1"/>
    </xf>
    <xf numFmtId="176" fontId="7" fillId="2" borderId="10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0" xfId="0" applyFont="1" applyFill="1" applyBorder="1"/>
    <xf numFmtId="0" fontId="10" fillId="2" borderId="10" xfId="0" applyFont="1" applyFill="1" applyBorder="1" applyAlignment="1">
      <alignment horizontal="center"/>
    </xf>
    <xf numFmtId="0" fontId="10" fillId="2" borderId="10" xfId="0" applyFont="1" applyFill="1" applyBorder="1"/>
    <xf numFmtId="0" fontId="0" fillId="2" borderId="10" xfId="0" applyFill="1" applyBorder="1"/>
    <xf numFmtId="0" fontId="10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0" fillId="2" borderId="11" xfId="0" applyFill="1" applyBorder="1"/>
    <xf numFmtId="177" fontId="0" fillId="0" borderId="0" xfId="0" applyNumberFormat="1" applyFon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0" fontId="0" fillId="0" borderId="0" xfId="0" applyFill="1" applyBorder="1"/>
    <xf numFmtId="0" fontId="0" fillId="0" borderId="0" xfId="0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0" fillId="3" borderId="0" xfId="0" applyFill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2" fontId="2" fillId="2" borderId="10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Fill="1" applyProtection="1">
      <protection locked="0"/>
    </xf>
    <xf numFmtId="178" fontId="0" fillId="0" borderId="0" xfId="0" applyNumberFormat="1" applyProtection="1">
      <protection locked="0"/>
    </xf>
    <xf numFmtId="0" fontId="1" fillId="3" borderId="10" xfId="0" applyFont="1" applyFill="1" applyBorder="1" applyAlignment="1">
      <alignment horizontal="center"/>
    </xf>
    <xf numFmtId="49" fontId="1" fillId="7" borderId="14" xfId="0" applyNumberFormat="1" applyFont="1" applyFill="1" applyBorder="1" applyAlignment="1"/>
    <xf numFmtId="49" fontId="1" fillId="7" borderId="0" xfId="0" applyNumberFormat="1" applyFont="1" applyFill="1" applyBorder="1" applyAlignment="1"/>
    <xf numFmtId="2" fontId="0" fillId="3" borderId="0" xfId="0" applyNumberFormat="1" applyFill="1" applyProtection="1">
      <protection locked="0"/>
    </xf>
    <xf numFmtId="49" fontId="0" fillId="0" borderId="0" xfId="0" applyNumberFormat="1" applyFill="1" applyAlignment="1" applyProtection="1">
      <alignment horizontal="center"/>
      <protection locked="0"/>
    </xf>
    <xf numFmtId="0" fontId="0" fillId="0" borderId="0" xfId="0" applyFill="1" applyBorder="1" applyAlignment="1">
      <alignment horizontal="right"/>
    </xf>
    <xf numFmtId="49" fontId="2" fillId="2" borderId="11" xfId="0" applyNumberFormat="1" applyFont="1" applyFill="1" applyBorder="1" applyAlignment="1">
      <alignment horizontal="center" vertical="center" wrapText="1"/>
    </xf>
    <xf numFmtId="2" fontId="2" fillId="2" borderId="11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right" vertical="center" wrapText="1"/>
    </xf>
    <xf numFmtId="0" fontId="2" fillId="2" borderId="1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Protection="1">
      <protection locked="0"/>
    </xf>
    <xf numFmtId="49" fontId="0" fillId="0" borderId="0" xfId="0" applyNumberFormat="1" applyFill="1" applyProtection="1">
      <protection locked="0"/>
    </xf>
    <xf numFmtId="176" fontId="11" fillId="0" borderId="0" xfId="0" applyNumberFormat="1" applyFont="1" applyAlignment="1" applyProtection="1">
      <alignment horizontal="right"/>
      <protection locked="0"/>
    </xf>
    <xf numFmtId="49" fontId="0" fillId="0" borderId="0" xfId="0" applyNumberFormat="1" applyFill="1" applyAlignment="1" applyProtection="1">
      <alignment horizontal="right"/>
      <protection locked="0"/>
    </xf>
    <xf numFmtId="49" fontId="11" fillId="0" borderId="0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/>
    <xf numFmtId="0" fontId="4" fillId="0" borderId="0" xfId="0" applyFont="1" applyBorder="1"/>
    <xf numFmtId="0" fontId="11" fillId="0" borderId="0" xfId="0" applyFont="1" applyBorder="1" applyAlignment="1" applyProtection="1">
      <alignment horizontal="center"/>
      <protection locked="0"/>
    </xf>
    <xf numFmtId="2" fontId="11" fillId="0" borderId="0" xfId="0" applyNumberFormat="1" applyFont="1" applyBorder="1" applyAlignment="1" applyProtection="1">
      <alignment horizontal="center"/>
      <protection locked="0"/>
    </xf>
    <xf numFmtId="49" fontId="11" fillId="0" borderId="0" xfId="0" applyNumberFormat="1" applyFont="1" applyBorder="1" applyAlignment="1" applyProtection="1">
      <alignment horizontal="right"/>
      <protection locked="0"/>
    </xf>
    <xf numFmtId="49" fontId="11" fillId="0" borderId="0" xfId="0" applyNumberFormat="1" applyFont="1" applyBorder="1" applyAlignment="1" applyProtection="1">
      <alignment horizontal="center"/>
      <protection locked="0"/>
    </xf>
    <xf numFmtId="176" fontId="11" fillId="0" borderId="0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Protection="1">
      <protection locked="0"/>
    </xf>
    <xf numFmtId="2" fontId="4" fillId="0" borderId="0" xfId="0" applyNumberFormat="1" applyFont="1" applyBorder="1" applyAlignment="1" applyProtection="1">
      <alignment horizontal="center"/>
      <protection locked="0"/>
    </xf>
    <xf numFmtId="2" fontId="11" fillId="0" borderId="0" xfId="0" applyNumberFormat="1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2" fontId="11" fillId="0" borderId="0" xfId="0" applyNumberFormat="1" applyFont="1" applyFill="1" applyAlignment="1" applyProtection="1">
      <alignment horizontal="center"/>
      <protection locked="0"/>
    </xf>
    <xf numFmtId="49" fontId="11" fillId="0" borderId="0" xfId="0" applyNumberFormat="1" applyFont="1" applyBorder="1" applyAlignment="1">
      <alignment horizontal="right"/>
    </xf>
    <xf numFmtId="176" fontId="11" fillId="0" borderId="0" xfId="0" applyNumberFormat="1" applyFont="1" applyBorder="1" applyAlignment="1">
      <alignment horizontal="right"/>
    </xf>
    <xf numFmtId="49" fontId="11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9" fontId="4" fillId="0" borderId="13" xfId="0" applyNumberFormat="1" applyFont="1" applyBorder="1" applyAlignment="1">
      <alignment horizontal="left"/>
    </xf>
    <xf numFmtId="49" fontId="11" fillId="0" borderId="0" xfId="0" applyNumberFormat="1" applyFont="1" applyFill="1" applyAlignment="1" applyProtection="1">
      <alignment horizontal="right"/>
      <protection locked="0"/>
    </xf>
    <xf numFmtId="0" fontId="11" fillId="0" borderId="0" xfId="0" applyFont="1" applyFill="1" applyBorder="1" applyAlignment="1" applyProtection="1">
      <alignment horizontal="center"/>
      <protection locked="0"/>
    </xf>
    <xf numFmtId="176" fontId="12" fillId="0" borderId="0" xfId="0" applyNumberFormat="1" applyFont="1" applyBorder="1"/>
    <xf numFmtId="177" fontId="12" fillId="0" borderId="0" xfId="0" applyNumberFormat="1" applyFont="1" applyBorder="1"/>
  </cellXfs>
  <cellStyles count="38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6 2" xfId="10"/>
    <cellStyle name="60% - Accent1 2" xfId="11"/>
    <cellStyle name="60% - Accent2 2" xfId="12"/>
    <cellStyle name="60% - Accent3 2" xfId="13"/>
    <cellStyle name="60% - Accent4 2" xfId="14"/>
    <cellStyle name="60% - Accent5 2" xfId="15"/>
    <cellStyle name="60% - Accent6 2" xfId="16"/>
    <cellStyle name="Accent1 2" xfId="17"/>
    <cellStyle name="Accent2 2" xfId="18"/>
    <cellStyle name="Accent3 2" xfId="19"/>
    <cellStyle name="Accent6 2" xfId="20"/>
    <cellStyle name="Bad 2" xfId="21"/>
    <cellStyle name="Calculation 2" xfId="22"/>
    <cellStyle name="Check Cell 2" xfId="23"/>
    <cellStyle name="Explanatory Text 2" xfId="24"/>
    <cellStyle name="Good 2" xfId="25"/>
    <cellStyle name="Heading 1 2" xfId="26"/>
    <cellStyle name="Heading 2 2" xfId="27"/>
    <cellStyle name="Heading 3 2" xfId="28"/>
    <cellStyle name="Heading 4 2" xfId="29"/>
    <cellStyle name="Input 2" xfId="30"/>
    <cellStyle name="Linked Cell 2" xfId="31"/>
    <cellStyle name="Neutral 2" xfId="32"/>
    <cellStyle name="Normal" xfId="0" builtinId="0"/>
    <cellStyle name="Note 2" xfId="33"/>
    <cellStyle name="Output 2" xfId="34"/>
    <cellStyle name="Title 2" xfId="35"/>
    <cellStyle name="Total 2" xfId="36"/>
    <cellStyle name="Warning Text 2" xfId="3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E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CFEBC"/>
      <rgbColor rgb="00BFD4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0"/>
  <sheetViews>
    <sheetView workbookViewId="0">
      <pane ySplit="4" topLeftCell="A5" activePane="bottomLeft" state="frozenSplit"/>
      <selection pane="bottomLeft" activeCell="C9" sqref="C9"/>
    </sheetView>
  </sheetViews>
  <sheetFormatPr defaultColWidth="0" defaultRowHeight="12.75" zeroHeight="1" x14ac:dyDescent="0.2"/>
  <cols>
    <col min="1" max="1" width="8.7109375" style="77" customWidth="1"/>
    <col min="2" max="2" width="13.7109375" style="78" customWidth="1"/>
    <col min="3" max="8" width="12.7109375" style="78" customWidth="1"/>
    <col min="9" max="9" width="11.7109375" style="79" customWidth="1"/>
    <col min="10" max="10" width="12.85546875" style="80" customWidth="1"/>
    <col min="11" max="11" width="13.5703125" style="81" customWidth="1"/>
    <col min="12" max="12" width="16.42578125" style="80" customWidth="1"/>
    <col min="13" max="13" width="14.85546875" style="77" customWidth="1"/>
    <col min="14" max="14" width="10.7109375" style="77" customWidth="1"/>
    <col min="15" max="16384" width="0" style="82" hidden="1"/>
  </cols>
  <sheetData>
    <row r="1" spans="1:23" s="75" customFormat="1" collapsed="1" x14ac:dyDescent="0.2">
      <c r="A1" s="53" t="s">
        <v>0</v>
      </c>
      <c r="B1" s="83" t="s">
        <v>1</v>
      </c>
      <c r="C1" s="84"/>
      <c r="D1" s="84"/>
      <c r="E1" s="84"/>
      <c r="F1" s="84"/>
      <c r="H1" s="20" t="s">
        <v>2</v>
      </c>
      <c r="I1" s="87"/>
      <c r="J1" s="87"/>
      <c r="K1" s="88"/>
      <c r="L1" s="89"/>
      <c r="M1" s="90"/>
      <c r="N1" s="90"/>
      <c r="T1" s="94">
        <v>43191</v>
      </c>
      <c r="U1" s="94">
        <v>43281</v>
      </c>
      <c r="V1" s="95"/>
      <c r="W1" s="94"/>
    </row>
    <row r="2" spans="1:23" s="76" customFormat="1" ht="13.5" customHeight="1" x14ac:dyDescent="0.2">
      <c r="A2" s="19" t="s">
        <v>3</v>
      </c>
      <c r="B2" s="19"/>
      <c r="C2" s="19"/>
      <c r="D2" s="19"/>
      <c r="E2" s="19"/>
      <c r="F2" s="19"/>
      <c r="G2" s="19"/>
      <c r="H2" s="19"/>
      <c r="I2" s="19"/>
      <c r="J2" s="91"/>
      <c r="K2" s="19"/>
      <c r="L2" s="91"/>
      <c r="M2" s="19"/>
      <c r="N2" s="19"/>
    </row>
    <row r="3" spans="1:23" s="53" customFormat="1" ht="40.5" customHeight="1" x14ac:dyDescent="0.2">
      <c r="A3" s="85" t="s">
        <v>4</v>
      </c>
      <c r="B3" s="31" t="s">
        <v>5</v>
      </c>
      <c r="C3" s="31" t="s">
        <v>6</v>
      </c>
      <c r="D3" s="31" t="s">
        <v>7</v>
      </c>
      <c r="E3" s="31" t="s">
        <v>8</v>
      </c>
      <c r="F3" s="31" t="s">
        <v>9</v>
      </c>
      <c r="G3" s="31" t="s">
        <v>10</v>
      </c>
      <c r="H3" s="31" t="s">
        <v>11</v>
      </c>
      <c r="I3" s="31" t="s">
        <v>12</v>
      </c>
      <c r="J3" s="31" t="s">
        <v>13</v>
      </c>
      <c r="K3" s="31" t="s">
        <v>14</v>
      </c>
      <c r="L3" s="31" t="s">
        <v>15</v>
      </c>
      <c r="M3" s="31" t="s">
        <v>16</v>
      </c>
      <c r="N3" s="31" t="s">
        <v>17</v>
      </c>
    </row>
    <row r="4" spans="1:23" s="53" customFormat="1" ht="15.75" customHeight="1" x14ac:dyDescent="0.2">
      <c r="A4" s="85">
        <v>301</v>
      </c>
      <c r="B4" s="85">
        <v>302</v>
      </c>
      <c r="C4" s="85">
        <v>303</v>
      </c>
      <c r="D4" s="85">
        <v>304</v>
      </c>
      <c r="E4" s="85">
        <v>305</v>
      </c>
      <c r="F4" s="85">
        <v>306</v>
      </c>
      <c r="G4" s="85">
        <v>307</v>
      </c>
      <c r="H4" s="85"/>
      <c r="I4" s="85">
        <v>308</v>
      </c>
      <c r="J4" s="85">
        <v>309</v>
      </c>
      <c r="K4" s="85">
        <v>310</v>
      </c>
      <c r="L4" s="85">
        <v>311</v>
      </c>
      <c r="M4" s="85">
        <v>312</v>
      </c>
      <c r="N4" s="85"/>
    </row>
    <row r="5" spans="1:23" x14ac:dyDescent="0.2">
      <c r="A5" s="77">
        <v>1</v>
      </c>
      <c r="B5" s="56">
        <v>523635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92"/>
      <c r="J5" s="74" t="s">
        <v>18</v>
      </c>
      <c r="K5" s="44">
        <v>45695</v>
      </c>
      <c r="L5" s="62" t="s">
        <v>19</v>
      </c>
      <c r="M5" s="93" t="s">
        <v>20</v>
      </c>
      <c r="N5" s="93" t="s">
        <v>21</v>
      </c>
      <c r="Q5" s="82">
        <v>1</v>
      </c>
      <c r="S5" s="82" t="str">
        <f t="shared" ref="S5:S68" si="0">IF(A5&gt;0,(A5&amp;"  ("&amp;J5&amp;", "&amp;TEXT(K5,"dd-mmm-yyyy")&amp;", "&amp;L5&amp;")"),"")</f>
        <v>1  (6360014, 07-Feb-2025, 00391)</v>
      </c>
    </row>
    <row r="6" spans="1:23" x14ac:dyDescent="0.2">
      <c r="A6" s="77">
        <v>2</v>
      </c>
      <c r="B6" s="49">
        <v>584622</v>
      </c>
      <c r="C6" s="78">
        <v>0</v>
      </c>
      <c r="D6" s="78">
        <v>0</v>
      </c>
      <c r="E6" s="78">
        <v>0</v>
      </c>
      <c r="F6" s="78">
        <v>0</v>
      </c>
      <c r="G6" s="78">
        <v>0</v>
      </c>
      <c r="H6" s="78">
        <v>0</v>
      </c>
      <c r="J6" s="80" t="s">
        <v>18</v>
      </c>
      <c r="K6" s="48">
        <v>45755</v>
      </c>
      <c r="L6" s="62" t="s">
        <v>22</v>
      </c>
      <c r="M6" s="93" t="s">
        <v>20</v>
      </c>
      <c r="N6" s="93" t="s">
        <v>21</v>
      </c>
      <c r="Q6" s="82">
        <v>2</v>
      </c>
      <c r="S6" s="82" t="str">
        <f t="shared" si="0"/>
        <v>2  (6360014, 08-Apr-2025, 06510)</v>
      </c>
    </row>
    <row r="7" spans="1:23" x14ac:dyDescent="0.2">
      <c r="A7" s="77">
        <v>3</v>
      </c>
      <c r="B7" s="49">
        <v>543635</v>
      </c>
      <c r="C7" s="78">
        <v>0</v>
      </c>
      <c r="D7" s="78">
        <v>0</v>
      </c>
      <c r="E7" s="78">
        <v>0</v>
      </c>
      <c r="F7" s="78">
        <v>0</v>
      </c>
      <c r="G7" s="78">
        <v>0</v>
      </c>
      <c r="H7" s="78">
        <v>0</v>
      </c>
      <c r="J7" s="80" t="s">
        <v>18</v>
      </c>
      <c r="K7" s="48">
        <v>45722</v>
      </c>
      <c r="L7" s="62" t="s">
        <v>23</v>
      </c>
      <c r="M7" s="93" t="s">
        <v>20</v>
      </c>
      <c r="N7" s="93" t="s">
        <v>21</v>
      </c>
      <c r="Q7" s="82">
        <v>3</v>
      </c>
      <c r="S7" s="82" t="str">
        <f t="shared" si="0"/>
        <v>3  (6360014, 06-Mar-2025, 50935)</v>
      </c>
    </row>
    <row r="8" spans="1:23" x14ac:dyDescent="0.2">
      <c r="B8" s="49"/>
      <c r="K8" s="48"/>
      <c r="L8" s="62"/>
      <c r="M8" s="93"/>
      <c r="N8" s="93"/>
      <c r="S8" s="82" t="str">
        <f t="shared" si="0"/>
        <v/>
      </c>
    </row>
    <row r="9" spans="1:23" x14ac:dyDescent="0.2">
      <c r="B9" s="56"/>
      <c r="K9" s="48"/>
      <c r="L9" s="62"/>
      <c r="M9" s="93"/>
      <c r="N9" s="93"/>
      <c r="S9" s="82" t="str">
        <f t="shared" si="0"/>
        <v/>
      </c>
    </row>
    <row r="10" spans="1:23" x14ac:dyDescent="0.2">
      <c r="B10" s="49"/>
      <c r="K10" s="48"/>
      <c r="L10" s="62"/>
      <c r="M10" s="93"/>
      <c r="N10" s="93"/>
      <c r="S10" s="82" t="str">
        <f t="shared" si="0"/>
        <v/>
      </c>
    </row>
    <row r="11" spans="1:23" x14ac:dyDescent="0.2">
      <c r="B11" s="56"/>
      <c r="K11" s="48"/>
      <c r="L11" s="62"/>
      <c r="M11" s="93"/>
      <c r="N11" s="93"/>
      <c r="S11" s="82" t="str">
        <f t="shared" si="0"/>
        <v/>
      </c>
    </row>
    <row r="12" spans="1:23" x14ac:dyDescent="0.2">
      <c r="B12" s="49"/>
      <c r="K12" s="48"/>
      <c r="L12" s="62"/>
      <c r="M12" s="93"/>
      <c r="N12" s="93"/>
      <c r="S12" s="82" t="str">
        <f t="shared" si="0"/>
        <v/>
      </c>
    </row>
    <row r="13" spans="1:23" x14ac:dyDescent="0.2">
      <c r="B13" s="49"/>
      <c r="K13" s="48"/>
      <c r="L13" s="62"/>
      <c r="M13" s="93"/>
      <c r="N13" s="93"/>
      <c r="S13" s="82" t="str">
        <f t="shared" si="0"/>
        <v/>
      </c>
    </row>
    <row r="14" spans="1:23" x14ac:dyDescent="0.2">
      <c r="S14" s="82" t="str">
        <f t="shared" si="0"/>
        <v/>
      </c>
    </row>
    <row r="15" spans="1:23" x14ac:dyDescent="0.2">
      <c r="S15" s="82" t="str">
        <f t="shared" si="0"/>
        <v/>
      </c>
    </row>
    <row r="16" spans="1:23" x14ac:dyDescent="0.2">
      <c r="S16" s="82" t="str">
        <f t="shared" si="0"/>
        <v/>
      </c>
    </row>
    <row r="17" spans="19:19" x14ac:dyDescent="0.2">
      <c r="S17" s="82" t="str">
        <f t="shared" si="0"/>
        <v/>
      </c>
    </row>
    <row r="18" spans="19:19" x14ac:dyDescent="0.2">
      <c r="S18" s="82" t="str">
        <f t="shared" si="0"/>
        <v/>
      </c>
    </row>
    <row r="19" spans="19:19" x14ac:dyDescent="0.2">
      <c r="S19" s="82" t="str">
        <f t="shared" si="0"/>
        <v/>
      </c>
    </row>
    <row r="20" spans="19:19" x14ac:dyDescent="0.2">
      <c r="S20" s="82" t="str">
        <f t="shared" si="0"/>
        <v/>
      </c>
    </row>
    <row r="21" spans="19:19" x14ac:dyDescent="0.2">
      <c r="S21" s="82" t="str">
        <f t="shared" si="0"/>
        <v/>
      </c>
    </row>
    <row r="22" spans="19:19" x14ac:dyDescent="0.2">
      <c r="S22" s="82" t="str">
        <f t="shared" si="0"/>
        <v/>
      </c>
    </row>
    <row r="23" spans="19:19" x14ac:dyDescent="0.2">
      <c r="S23" s="82" t="str">
        <f t="shared" si="0"/>
        <v/>
      </c>
    </row>
    <row r="24" spans="19:19" x14ac:dyDescent="0.2">
      <c r="S24" s="82" t="str">
        <f t="shared" si="0"/>
        <v/>
      </c>
    </row>
    <row r="25" spans="19:19" x14ac:dyDescent="0.2">
      <c r="S25" s="82" t="str">
        <f t="shared" si="0"/>
        <v/>
      </c>
    </row>
    <row r="26" spans="19:19" x14ac:dyDescent="0.2">
      <c r="S26" s="82" t="str">
        <f t="shared" si="0"/>
        <v/>
      </c>
    </row>
    <row r="27" spans="19:19" x14ac:dyDescent="0.2">
      <c r="S27" s="82" t="str">
        <f t="shared" si="0"/>
        <v/>
      </c>
    </row>
    <row r="28" spans="19:19" x14ac:dyDescent="0.2">
      <c r="S28" s="82" t="str">
        <f t="shared" si="0"/>
        <v/>
      </c>
    </row>
    <row r="29" spans="19:19" x14ac:dyDescent="0.2">
      <c r="S29" s="82" t="str">
        <f t="shared" si="0"/>
        <v/>
      </c>
    </row>
    <row r="30" spans="19:19" x14ac:dyDescent="0.2">
      <c r="S30" s="82" t="str">
        <f t="shared" si="0"/>
        <v/>
      </c>
    </row>
    <row r="31" spans="19:19" x14ac:dyDescent="0.2">
      <c r="S31" s="82" t="str">
        <f t="shared" si="0"/>
        <v/>
      </c>
    </row>
    <row r="32" spans="19:19" x14ac:dyDescent="0.2">
      <c r="S32" s="82" t="str">
        <f t="shared" si="0"/>
        <v/>
      </c>
    </row>
    <row r="33" spans="19:19" x14ac:dyDescent="0.2">
      <c r="S33" s="82" t="str">
        <f t="shared" si="0"/>
        <v/>
      </c>
    </row>
    <row r="34" spans="19:19" x14ac:dyDescent="0.2">
      <c r="S34" s="82" t="str">
        <f t="shared" si="0"/>
        <v/>
      </c>
    </row>
    <row r="35" spans="19:19" x14ac:dyDescent="0.2">
      <c r="S35" s="82" t="str">
        <f t="shared" si="0"/>
        <v/>
      </c>
    </row>
    <row r="36" spans="19:19" x14ac:dyDescent="0.2">
      <c r="S36" s="82" t="str">
        <f t="shared" si="0"/>
        <v/>
      </c>
    </row>
    <row r="37" spans="19:19" x14ac:dyDescent="0.2">
      <c r="S37" s="82" t="str">
        <f t="shared" si="0"/>
        <v/>
      </c>
    </row>
    <row r="38" spans="19:19" x14ac:dyDescent="0.2">
      <c r="S38" s="82" t="str">
        <f t="shared" si="0"/>
        <v/>
      </c>
    </row>
    <row r="39" spans="19:19" x14ac:dyDescent="0.2">
      <c r="S39" s="82" t="str">
        <f t="shared" si="0"/>
        <v/>
      </c>
    </row>
    <row r="40" spans="19:19" x14ac:dyDescent="0.2">
      <c r="S40" s="82" t="str">
        <f t="shared" si="0"/>
        <v/>
      </c>
    </row>
    <row r="41" spans="19:19" x14ac:dyDescent="0.2">
      <c r="S41" s="82" t="str">
        <f t="shared" si="0"/>
        <v/>
      </c>
    </row>
    <row r="42" spans="19:19" x14ac:dyDescent="0.2">
      <c r="S42" s="82" t="str">
        <f t="shared" si="0"/>
        <v/>
      </c>
    </row>
    <row r="43" spans="19:19" x14ac:dyDescent="0.2">
      <c r="S43" s="82" t="str">
        <f t="shared" si="0"/>
        <v/>
      </c>
    </row>
    <row r="44" spans="19:19" x14ac:dyDescent="0.2">
      <c r="S44" s="82" t="str">
        <f t="shared" si="0"/>
        <v/>
      </c>
    </row>
    <row r="45" spans="19:19" x14ac:dyDescent="0.2">
      <c r="S45" s="82" t="str">
        <f t="shared" si="0"/>
        <v/>
      </c>
    </row>
    <row r="46" spans="19:19" x14ac:dyDescent="0.2">
      <c r="S46" s="82" t="str">
        <f t="shared" si="0"/>
        <v/>
      </c>
    </row>
    <row r="47" spans="19:19" x14ac:dyDescent="0.2">
      <c r="S47" s="82" t="str">
        <f t="shared" si="0"/>
        <v/>
      </c>
    </row>
    <row r="48" spans="19:19" x14ac:dyDescent="0.2">
      <c r="S48" s="82" t="str">
        <f t="shared" si="0"/>
        <v/>
      </c>
    </row>
    <row r="49" spans="19:19" x14ac:dyDescent="0.2">
      <c r="S49" s="82" t="str">
        <f t="shared" si="0"/>
        <v/>
      </c>
    </row>
    <row r="50" spans="19:19" x14ac:dyDescent="0.2">
      <c r="S50" s="82" t="str">
        <f t="shared" si="0"/>
        <v/>
      </c>
    </row>
    <row r="51" spans="19:19" x14ac:dyDescent="0.2">
      <c r="S51" s="82" t="str">
        <f t="shared" si="0"/>
        <v/>
      </c>
    </row>
    <row r="52" spans="19:19" x14ac:dyDescent="0.2">
      <c r="S52" s="82" t="str">
        <f t="shared" si="0"/>
        <v/>
      </c>
    </row>
    <row r="53" spans="19:19" x14ac:dyDescent="0.2">
      <c r="S53" s="82" t="str">
        <f t="shared" si="0"/>
        <v/>
      </c>
    </row>
    <row r="54" spans="19:19" x14ac:dyDescent="0.2">
      <c r="S54" s="82" t="str">
        <f t="shared" si="0"/>
        <v/>
      </c>
    </row>
    <row r="55" spans="19:19" x14ac:dyDescent="0.2">
      <c r="S55" s="82" t="str">
        <f t="shared" si="0"/>
        <v/>
      </c>
    </row>
    <row r="56" spans="19:19" x14ac:dyDescent="0.2">
      <c r="S56" s="82" t="str">
        <f t="shared" si="0"/>
        <v/>
      </c>
    </row>
    <row r="57" spans="19:19" x14ac:dyDescent="0.2">
      <c r="S57" s="82" t="str">
        <f t="shared" si="0"/>
        <v/>
      </c>
    </row>
    <row r="58" spans="19:19" x14ac:dyDescent="0.2">
      <c r="S58" s="82" t="str">
        <f t="shared" si="0"/>
        <v/>
      </c>
    </row>
    <row r="59" spans="19:19" x14ac:dyDescent="0.2">
      <c r="S59" s="82" t="str">
        <f t="shared" si="0"/>
        <v/>
      </c>
    </row>
    <row r="60" spans="19:19" x14ac:dyDescent="0.2">
      <c r="S60" s="82" t="str">
        <f t="shared" si="0"/>
        <v/>
      </c>
    </row>
    <row r="61" spans="19:19" x14ac:dyDescent="0.2">
      <c r="S61" s="82" t="str">
        <f t="shared" si="0"/>
        <v/>
      </c>
    </row>
    <row r="62" spans="19:19" x14ac:dyDescent="0.2">
      <c r="S62" s="82" t="str">
        <f t="shared" si="0"/>
        <v/>
      </c>
    </row>
    <row r="63" spans="19:19" x14ac:dyDescent="0.2">
      <c r="S63" s="82" t="str">
        <f t="shared" si="0"/>
        <v/>
      </c>
    </row>
    <row r="64" spans="19:19" x14ac:dyDescent="0.2">
      <c r="S64" s="82" t="str">
        <f t="shared" si="0"/>
        <v/>
      </c>
    </row>
    <row r="65" spans="19:19" x14ac:dyDescent="0.2">
      <c r="S65" s="82" t="str">
        <f t="shared" si="0"/>
        <v/>
      </c>
    </row>
    <row r="66" spans="19:19" x14ac:dyDescent="0.2">
      <c r="S66" s="82" t="str">
        <f t="shared" si="0"/>
        <v/>
      </c>
    </row>
    <row r="67" spans="19:19" x14ac:dyDescent="0.2">
      <c r="S67" s="82" t="str">
        <f t="shared" si="0"/>
        <v/>
      </c>
    </row>
    <row r="68" spans="19:19" x14ac:dyDescent="0.2">
      <c r="S68" s="82" t="str">
        <f t="shared" si="0"/>
        <v/>
      </c>
    </row>
    <row r="69" spans="19:19" x14ac:dyDescent="0.2">
      <c r="S69" s="82" t="str">
        <f t="shared" ref="S69:S132" si="1">IF(A69&gt;0,(A69&amp;"  ("&amp;J69&amp;", "&amp;TEXT(K69,"dd-mmm-yyyy")&amp;", "&amp;L69&amp;")"),"")</f>
        <v/>
      </c>
    </row>
    <row r="70" spans="19:19" x14ac:dyDescent="0.2">
      <c r="S70" s="82" t="str">
        <f t="shared" si="1"/>
        <v/>
      </c>
    </row>
    <row r="71" spans="19:19" x14ac:dyDescent="0.2">
      <c r="S71" s="82" t="str">
        <f t="shared" si="1"/>
        <v/>
      </c>
    </row>
    <row r="72" spans="19:19" x14ac:dyDescent="0.2">
      <c r="S72" s="82" t="str">
        <f t="shared" si="1"/>
        <v/>
      </c>
    </row>
    <row r="73" spans="19:19" x14ac:dyDescent="0.2">
      <c r="S73" s="82" t="str">
        <f t="shared" si="1"/>
        <v/>
      </c>
    </row>
    <row r="74" spans="19:19" x14ac:dyDescent="0.2">
      <c r="S74" s="82" t="str">
        <f t="shared" si="1"/>
        <v/>
      </c>
    </row>
    <row r="75" spans="19:19" x14ac:dyDescent="0.2">
      <c r="S75" s="82" t="str">
        <f t="shared" si="1"/>
        <v/>
      </c>
    </row>
    <row r="76" spans="19:19" x14ac:dyDescent="0.2">
      <c r="S76" s="82" t="str">
        <f t="shared" si="1"/>
        <v/>
      </c>
    </row>
    <row r="77" spans="19:19" x14ac:dyDescent="0.2">
      <c r="S77" s="82" t="str">
        <f t="shared" si="1"/>
        <v/>
      </c>
    </row>
    <row r="78" spans="19:19" x14ac:dyDescent="0.2">
      <c r="S78" s="82" t="str">
        <f t="shared" si="1"/>
        <v/>
      </c>
    </row>
    <row r="79" spans="19:19" x14ac:dyDescent="0.2">
      <c r="S79" s="82" t="str">
        <f t="shared" si="1"/>
        <v/>
      </c>
    </row>
    <row r="80" spans="19:19" x14ac:dyDescent="0.2">
      <c r="S80" s="82" t="str">
        <f t="shared" si="1"/>
        <v/>
      </c>
    </row>
    <row r="81" spans="19:19" x14ac:dyDescent="0.2">
      <c r="S81" s="82" t="str">
        <f t="shared" si="1"/>
        <v/>
      </c>
    </row>
    <row r="82" spans="19:19" x14ac:dyDescent="0.2">
      <c r="S82" s="82" t="str">
        <f t="shared" si="1"/>
        <v/>
      </c>
    </row>
    <row r="83" spans="19:19" x14ac:dyDescent="0.2">
      <c r="S83" s="82" t="str">
        <f t="shared" si="1"/>
        <v/>
      </c>
    </row>
    <row r="84" spans="19:19" x14ac:dyDescent="0.2">
      <c r="S84" s="82" t="str">
        <f t="shared" si="1"/>
        <v/>
      </c>
    </row>
    <row r="85" spans="19:19" x14ac:dyDescent="0.2">
      <c r="S85" s="82" t="str">
        <f t="shared" si="1"/>
        <v/>
      </c>
    </row>
    <row r="86" spans="19:19" x14ac:dyDescent="0.2">
      <c r="S86" s="82" t="str">
        <f t="shared" si="1"/>
        <v/>
      </c>
    </row>
    <row r="87" spans="19:19" x14ac:dyDescent="0.2">
      <c r="S87" s="82" t="str">
        <f t="shared" si="1"/>
        <v/>
      </c>
    </row>
    <row r="88" spans="19:19" x14ac:dyDescent="0.2">
      <c r="S88" s="82" t="str">
        <f t="shared" si="1"/>
        <v/>
      </c>
    </row>
    <row r="89" spans="19:19" x14ac:dyDescent="0.2">
      <c r="S89" s="82" t="str">
        <f t="shared" si="1"/>
        <v/>
      </c>
    </row>
    <row r="90" spans="19:19" x14ac:dyDescent="0.2">
      <c r="S90" s="82" t="str">
        <f t="shared" si="1"/>
        <v/>
      </c>
    </row>
    <row r="91" spans="19:19" x14ac:dyDescent="0.2">
      <c r="S91" s="82" t="str">
        <f t="shared" si="1"/>
        <v/>
      </c>
    </row>
    <row r="92" spans="19:19" x14ac:dyDescent="0.2">
      <c r="S92" s="82" t="str">
        <f t="shared" si="1"/>
        <v/>
      </c>
    </row>
    <row r="93" spans="19:19" x14ac:dyDescent="0.2">
      <c r="S93" s="82" t="str">
        <f t="shared" si="1"/>
        <v/>
      </c>
    </row>
    <row r="94" spans="19:19" x14ac:dyDescent="0.2">
      <c r="S94" s="82" t="str">
        <f t="shared" si="1"/>
        <v/>
      </c>
    </row>
    <row r="95" spans="19:19" x14ac:dyDescent="0.2">
      <c r="S95" s="82" t="str">
        <f t="shared" si="1"/>
        <v/>
      </c>
    </row>
    <row r="96" spans="19:19" x14ac:dyDescent="0.2">
      <c r="S96" s="82" t="str">
        <f t="shared" si="1"/>
        <v/>
      </c>
    </row>
    <row r="97" spans="19:19" x14ac:dyDescent="0.2">
      <c r="S97" s="82" t="str">
        <f t="shared" si="1"/>
        <v/>
      </c>
    </row>
    <row r="98" spans="19:19" x14ac:dyDescent="0.2">
      <c r="S98" s="82" t="str">
        <f t="shared" si="1"/>
        <v/>
      </c>
    </row>
    <row r="99" spans="19:19" x14ac:dyDescent="0.2">
      <c r="S99" s="82" t="str">
        <f t="shared" si="1"/>
        <v/>
      </c>
    </row>
    <row r="100" spans="19:19" x14ac:dyDescent="0.2">
      <c r="S100" s="82" t="str">
        <f t="shared" si="1"/>
        <v/>
      </c>
    </row>
    <row r="101" spans="19:19" x14ac:dyDescent="0.2">
      <c r="S101" s="82" t="str">
        <f t="shared" si="1"/>
        <v/>
      </c>
    </row>
    <row r="102" spans="19:19" x14ac:dyDescent="0.2">
      <c r="S102" s="82" t="str">
        <f t="shared" si="1"/>
        <v/>
      </c>
    </row>
    <row r="103" spans="19:19" x14ac:dyDescent="0.2">
      <c r="S103" s="82" t="str">
        <f t="shared" si="1"/>
        <v/>
      </c>
    </row>
    <row r="104" spans="19:19" x14ac:dyDescent="0.2">
      <c r="S104" s="82" t="str">
        <f t="shared" si="1"/>
        <v/>
      </c>
    </row>
    <row r="105" spans="19:19" x14ac:dyDescent="0.2">
      <c r="S105" s="82" t="str">
        <f t="shared" si="1"/>
        <v/>
      </c>
    </row>
    <row r="106" spans="19:19" x14ac:dyDescent="0.2">
      <c r="S106" s="82" t="str">
        <f t="shared" si="1"/>
        <v/>
      </c>
    </row>
    <row r="107" spans="19:19" x14ac:dyDescent="0.2">
      <c r="S107" s="82" t="str">
        <f t="shared" si="1"/>
        <v/>
      </c>
    </row>
    <row r="108" spans="19:19" x14ac:dyDescent="0.2">
      <c r="S108" s="82" t="str">
        <f t="shared" si="1"/>
        <v/>
      </c>
    </row>
    <row r="109" spans="19:19" x14ac:dyDescent="0.2">
      <c r="S109" s="82" t="str">
        <f t="shared" si="1"/>
        <v/>
      </c>
    </row>
    <row r="110" spans="19:19" x14ac:dyDescent="0.2">
      <c r="S110" s="82" t="str">
        <f t="shared" si="1"/>
        <v/>
      </c>
    </row>
    <row r="111" spans="19:19" x14ac:dyDescent="0.2">
      <c r="S111" s="82" t="str">
        <f t="shared" si="1"/>
        <v/>
      </c>
    </row>
    <row r="112" spans="19:19" x14ac:dyDescent="0.2">
      <c r="S112" s="82" t="str">
        <f t="shared" si="1"/>
        <v/>
      </c>
    </row>
    <row r="113" spans="19:19" x14ac:dyDescent="0.2">
      <c r="S113" s="82" t="str">
        <f t="shared" si="1"/>
        <v/>
      </c>
    </row>
    <row r="114" spans="19:19" x14ac:dyDescent="0.2">
      <c r="S114" s="82" t="str">
        <f t="shared" si="1"/>
        <v/>
      </c>
    </row>
    <row r="115" spans="19:19" x14ac:dyDescent="0.2">
      <c r="S115" s="82" t="str">
        <f t="shared" si="1"/>
        <v/>
      </c>
    </row>
    <row r="116" spans="19:19" x14ac:dyDescent="0.2">
      <c r="S116" s="82" t="str">
        <f t="shared" si="1"/>
        <v/>
      </c>
    </row>
    <row r="117" spans="19:19" x14ac:dyDescent="0.2">
      <c r="S117" s="82" t="str">
        <f t="shared" si="1"/>
        <v/>
      </c>
    </row>
    <row r="118" spans="19:19" x14ac:dyDescent="0.2">
      <c r="S118" s="82" t="str">
        <f t="shared" si="1"/>
        <v/>
      </c>
    </row>
    <row r="119" spans="19:19" x14ac:dyDescent="0.2">
      <c r="S119" s="82" t="str">
        <f t="shared" si="1"/>
        <v/>
      </c>
    </row>
    <row r="120" spans="19:19" x14ac:dyDescent="0.2">
      <c r="S120" s="82" t="str">
        <f t="shared" si="1"/>
        <v/>
      </c>
    </row>
    <row r="121" spans="19:19" x14ac:dyDescent="0.2">
      <c r="S121" s="82" t="str">
        <f t="shared" si="1"/>
        <v/>
      </c>
    </row>
    <row r="122" spans="19:19" x14ac:dyDescent="0.2">
      <c r="S122" s="82" t="str">
        <f t="shared" si="1"/>
        <v/>
      </c>
    </row>
    <row r="123" spans="19:19" x14ac:dyDescent="0.2">
      <c r="S123" s="82" t="str">
        <f t="shared" si="1"/>
        <v/>
      </c>
    </row>
    <row r="124" spans="19:19" x14ac:dyDescent="0.2">
      <c r="S124" s="82" t="str">
        <f t="shared" si="1"/>
        <v/>
      </c>
    </row>
    <row r="125" spans="19:19" x14ac:dyDescent="0.2">
      <c r="S125" s="82" t="str">
        <f t="shared" si="1"/>
        <v/>
      </c>
    </row>
    <row r="126" spans="19:19" x14ac:dyDescent="0.2">
      <c r="S126" s="82" t="str">
        <f t="shared" si="1"/>
        <v/>
      </c>
    </row>
    <row r="127" spans="19:19" x14ac:dyDescent="0.2">
      <c r="S127" s="82" t="str">
        <f t="shared" si="1"/>
        <v/>
      </c>
    </row>
    <row r="128" spans="19:19" x14ac:dyDescent="0.2">
      <c r="S128" s="82" t="str">
        <f t="shared" si="1"/>
        <v/>
      </c>
    </row>
    <row r="129" spans="19:19" x14ac:dyDescent="0.2">
      <c r="S129" s="82" t="str">
        <f t="shared" si="1"/>
        <v/>
      </c>
    </row>
    <row r="130" spans="19:19" x14ac:dyDescent="0.2">
      <c r="S130" s="82" t="str">
        <f t="shared" si="1"/>
        <v/>
      </c>
    </row>
    <row r="131" spans="19:19" x14ac:dyDescent="0.2">
      <c r="S131" s="82" t="str">
        <f t="shared" si="1"/>
        <v/>
      </c>
    </row>
    <row r="132" spans="19:19" x14ac:dyDescent="0.2">
      <c r="S132" s="82" t="str">
        <f t="shared" si="1"/>
        <v/>
      </c>
    </row>
    <row r="133" spans="19:19" x14ac:dyDescent="0.2">
      <c r="S133" s="82" t="str">
        <f t="shared" ref="S133:S196" si="2">IF(A133&gt;0,(A133&amp;"  ("&amp;J133&amp;", "&amp;TEXT(K133,"dd-mmm-yyyy")&amp;", "&amp;L133&amp;")"),"")</f>
        <v/>
      </c>
    </row>
    <row r="134" spans="19:19" x14ac:dyDescent="0.2">
      <c r="S134" s="82" t="str">
        <f t="shared" si="2"/>
        <v/>
      </c>
    </row>
    <row r="135" spans="19:19" x14ac:dyDescent="0.2">
      <c r="S135" s="82" t="str">
        <f t="shared" si="2"/>
        <v/>
      </c>
    </row>
    <row r="136" spans="19:19" x14ac:dyDescent="0.2">
      <c r="S136" s="82" t="str">
        <f t="shared" si="2"/>
        <v/>
      </c>
    </row>
    <row r="137" spans="19:19" x14ac:dyDescent="0.2">
      <c r="S137" s="82" t="str">
        <f t="shared" si="2"/>
        <v/>
      </c>
    </row>
    <row r="138" spans="19:19" x14ac:dyDescent="0.2">
      <c r="S138" s="82" t="str">
        <f t="shared" si="2"/>
        <v/>
      </c>
    </row>
    <row r="139" spans="19:19" x14ac:dyDescent="0.2">
      <c r="S139" s="82" t="str">
        <f t="shared" si="2"/>
        <v/>
      </c>
    </row>
    <row r="140" spans="19:19" x14ac:dyDescent="0.2">
      <c r="S140" s="82" t="str">
        <f t="shared" si="2"/>
        <v/>
      </c>
    </row>
    <row r="141" spans="19:19" x14ac:dyDescent="0.2">
      <c r="S141" s="82" t="str">
        <f t="shared" si="2"/>
        <v/>
      </c>
    </row>
    <row r="142" spans="19:19" x14ac:dyDescent="0.2">
      <c r="S142" s="82" t="str">
        <f t="shared" si="2"/>
        <v/>
      </c>
    </row>
    <row r="143" spans="19:19" x14ac:dyDescent="0.2">
      <c r="S143" s="82" t="str">
        <f t="shared" si="2"/>
        <v/>
      </c>
    </row>
    <row r="144" spans="19:19" x14ac:dyDescent="0.2">
      <c r="S144" s="82" t="str">
        <f t="shared" si="2"/>
        <v/>
      </c>
    </row>
    <row r="145" spans="19:19" x14ac:dyDescent="0.2">
      <c r="S145" s="82" t="str">
        <f t="shared" si="2"/>
        <v/>
      </c>
    </row>
    <row r="146" spans="19:19" x14ac:dyDescent="0.2">
      <c r="S146" s="82" t="str">
        <f t="shared" si="2"/>
        <v/>
      </c>
    </row>
    <row r="147" spans="19:19" x14ac:dyDescent="0.2">
      <c r="S147" s="82" t="str">
        <f t="shared" si="2"/>
        <v/>
      </c>
    </row>
    <row r="148" spans="19:19" x14ac:dyDescent="0.2">
      <c r="S148" s="82" t="str">
        <f t="shared" si="2"/>
        <v/>
      </c>
    </row>
    <row r="149" spans="19:19" x14ac:dyDescent="0.2">
      <c r="S149" s="82" t="str">
        <f t="shared" si="2"/>
        <v/>
      </c>
    </row>
    <row r="150" spans="19:19" x14ac:dyDescent="0.2">
      <c r="S150" s="82" t="str">
        <f t="shared" si="2"/>
        <v/>
      </c>
    </row>
    <row r="151" spans="19:19" x14ac:dyDescent="0.2">
      <c r="S151" s="82" t="str">
        <f t="shared" si="2"/>
        <v/>
      </c>
    </row>
    <row r="152" spans="19:19" x14ac:dyDescent="0.2">
      <c r="S152" s="82" t="str">
        <f t="shared" si="2"/>
        <v/>
      </c>
    </row>
    <row r="153" spans="19:19" x14ac:dyDescent="0.2">
      <c r="S153" s="82" t="str">
        <f t="shared" si="2"/>
        <v/>
      </c>
    </row>
    <row r="154" spans="19:19" x14ac:dyDescent="0.2">
      <c r="S154" s="82" t="str">
        <f t="shared" si="2"/>
        <v/>
      </c>
    </row>
    <row r="155" spans="19:19" x14ac:dyDescent="0.2">
      <c r="S155" s="82" t="str">
        <f t="shared" si="2"/>
        <v/>
      </c>
    </row>
    <row r="156" spans="19:19" x14ac:dyDescent="0.2">
      <c r="S156" s="82" t="str">
        <f t="shared" si="2"/>
        <v/>
      </c>
    </row>
    <row r="157" spans="19:19" x14ac:dyDescent="0.2">
      <c r="S157" s="82" t="str">
        <f t="shared" si="2"/>
        <v/>
      </c>
    </row>
    <row r="158" spans="19:19" x14ac:dyDescent="0.2">
      <c r="S158" s="82" t="str">
        <f t="shared" si="2"/>
        <v/>
      </c>
    </row>
    <row r="159" spans="19:19" x14ac:dyDescent="0.2">
      <c r="S159" s="82" t="str">
        <f t="shared" si="2"/>
        <v/>
      </c>
    </row>
    <row r="160" spans="19:19" x14ac:dyDescent="0.2">
      <c r="S160" s="82" t="str">
        <f t="shared" si="2"/>
        <v/>
      </c>
    </row>
    <row r="161" spans="19:19" x14ac:dyDescent="0.2">
      <c r="S161" s="82" t="str">
        <f t="shared" si="2"/>
        <v/>
      </c>
    </row>
    <row r="162" spans="19:19" x14ac:dyDescent="0.2">
      <c r="S162" s="82" t="str">
        <f t="shared" si="2"/>
        <v/>
      </c>
    </row>
    <row r="163" spans="19:19" x14ac:dyDescent="0.2">
      <c r="S163" s="82" t="str">
        <f t="shared" si="2"/>
        <v/>
      </c>
    </row>
    <row r="164" spans="19:19" x14ac:dyDescent="0.2">
      <c r="S164" s="82" t="str">
        <f t="shared" si="2"/>
        <v/>
      </c>
    </row>
    <row r="165" spans="19:19" x14ac:dyDescent="0.2">
      <c r="S165" s="82" t="str">
        <f t="shared" si="2"/>
        <v/>
      </c>
    </row>
    <row r="166" spans="19:19" x14ac:dyDescent="0.2">
      <c r="S166" s="82" t="str">
        <f t="shared" si="2"/>
        <v/>
      </c>
    </row>
    <row r="167" spans="19:19" x14ac:dyDescent="0.2">
      <c r="S167" s="82" t="str">
        <f t="shared" si="2"/>
        <v/>
      </c>
    </row>
    <row r="168" spans="19:19" x14ac:dyDescent="0.2">
      <c r="S168" s="82" t="str">
        <f t="shared" si="2"/>
        <v/>
      </c>
    </row>
    <row r="169" spans="19:19" x14ac:dyDescent="0.2">
      <c r="S169" s="82" t="str">
        <f t="shared" si="2"/>
        <v/>
      </c>
    </row>
    <row r="170" spans="19:19" x14ac:dyDescent="0.2">
      <c r="S170" s="82" t="str">
        <f t="shared" si="2"/>
        <v/>
      </c>
    </row>
    <row r="171" spans="19:19" x14ac:dyDescent="0.2">
      <c r="S171" s="82" t="str">
        <f t="shared" si="2"/>
        <v/>
      </c>
    </row>
    <row r="172" spans="19:19" x14ac:dyDescent="0.2">
      <c r="S172" s="82" t="str">
        <f t="shared" si="2"/>
        <v/>
      </c>
    </row>
    <row r="173" spans="19:19" x14ac:dyDescent="0.2">
      <c r="S173" s="82" t="str">
        <f t="shared" si="2"/>
        <v/>
      </c>
    </row>
    <row r="174" spans="19:19" x14ac:dyDescent="0.2">
      <c r="S174" s="82" t="str">
        <f t="shared" si="2"/>
        <v/>
      </c>
    </row>
    <row r="175" spans="19:19" x14ac:dyDescent="0.2">
      <c r="S175" s="82" t="str">
        <f t="shared" si="2"/>
        <v/>
      </c>
    </row>
    <row r="176" spans="19:19" x14ac:dyDescent="0.2">
      <c r="S176" s="82" t="str">
        <f t="shared" si="2"/>
        <v/>
      </c>
    </row>
    <row r="177" spans="19:19" x14ac:dyDescent="0.2">
      <c r="S177" s="82" t="str">
        <f t="shared" si="2"/>
        <v/>
      </c>
    </row>
    <row r="178" spans="19:19" x14ac:dyDescent="0.2">
      <c r="S178" s="82" t="str">
        <f t="shared" si="2"/>
        <v/>
      </c>
    </row>
    <row r="179" spans="19:19" x14ac:dyDescent="0.2">
      <c r="S179" s="82" t="str">
        <f t="shared" si="2"/>
        <v/>
      </c>
    </row>
    <row r="180" spans="19:19" x14ac:dyDescent="0.2">
      <c r="S180" s="82" t="str">
        <f t="shared" si="2"/>
        <v/>
      </c>
    </row>
    <row r="181" spans="19:19" x14ac:dyDescent="0.2">
      <c r="S181" s="82" t="str">
        <f t="shared" si="2"/>
        <v/>
      </c>
    </row>
    <row r="182" spans="19:19" x14ac:dyDescent="0.2">
      <c r="S182" s="82" t="str">
        <f t="shared" si="2"/>
        <v/>
      </c>
    </row>
    <row r="183" spans="19:19" x14ac:dyDescent="0.2">
      <c r="S183" s="82" t="str">
        <f t="shared" si="2"/>
        <v/>
      </c>
    </row>
    <row r="184" spans="19:19" x14ac:dyDescent="0.2">
      <c r="S184" s="82" t="str">
        <f t="shared" si="2"/>
        <v/>
      </c>
    </row>
    <row r="185" spans="19:19" x14ac:dyDescent="0.2">
      <c r="S185" s="82" t="str">
        <f t="shared" si="2"/>
        <v/>
      </c>
    </row>
    <row r="186" spans="19:19" x14ac:dyDescent="0.2">
      <c r="S186" s="82" t="str">
        <f t="shared" si="2"/>
        <v/>
      </c>
    </row>
    <row r="187" spans="19:19" x14ac:dyDescent="0.2">
      <c r="S187" s="82" t="str">
        <f t="shared" si="2"/>
        <v/>
      </c>
    </row>
    <row r="188" spans="19:19" x14ac:dyDescent="0.2">
      <c r="S188" s="82" t="str">
        <f t="shared" si="2"/>
        <v/>
      </c>
    </row>
    <row r="189" spans="19:19" x14ac:dyDescent="0.2">
      <c r="S189" s="82" t="str">
        <f t="shared" si="2"/>
        <v/>
      </c>
    </row>
    <row r="190" spans="19:19" x14ac:dyDescent="0.2">
      <c r="S190" s="82" t="str">
        <f t="shared" si="2"/>
        <v/>
      </c>
    </row>
    <row r="191" spans="19:19" x14ac:dyDescent="0.2">
      <c r="S191" s="82" t="str">
        <f t="shared" si="2"/>
        <v/>
      </c>
    </row>
    <row r="192" spans="19:19" x14ac:dyDescent="0.2">
      <c r="S192" s="82" t="str">
        <f t="shared" si="2"/>
        <v/>
      </c>
    </row>
    <row r="193" spans="19:19" x14ac:dyDescent="0.2">
      <c r="S193" s="82" t="str">
        <f t="shared" si="2"/>
        <v/>
      </c>
    </row>
    <row r="194" spans="19:19" x14ac:dyDescent="0.2">
      <c r="S194" s="82" t="str">
        <f t="shared" si="2"/>
        <v/>
      </c>
    </row>
    <row r="195" spans="19:19" x14ac:dyDescent="0.2">
      <c r="S195" s="82" t="str">
        <f t="shared" si="2"/>
        <v/>
      </c>
    </row>
    <row r="196" spans="19:19" x14ac:dyDescent="0.2">
      <c r="S196" s="82" t="str">
        <f t="shared" si="2"/>
        <v/>
      </c>
    </row>
    <row r="197" spans="19:19" x14ac:dyDescent="0.2">
      <c r="S197" s="82" t="str">
        <f t="shared" ref="S197:S260" si="3">IF(A197&gt;0,(A197&amp;"  ("&amp;J197&amp;", "&amp;TEXT(K197,"dd-mmm-yyyy")&amp;", "&amp;L197&amp;")"),"")</f>
        <v/>
      </c>
    </row>
    <row r="198" spans="19:19" x14ac:dyDescent="0.2">
      <c r="S198" s="82" t="str">
        <f t="shared" si="3"/>
        <v/>
      </c>
    </row>
    <row r="199" spans="19:19" x14ac:dyDescent="0.2">
      <c r="S199" s="82" t="str">
        <f t="shared" si="3"/>
        <v/>
      </c>
    </row>
    <row r="200" spans="19:19" x14ac:dyDescent="0.2">
      <c r="S200" s="82" t="str">
        <f t="shared" si="3"/>
        <v/>
      </c>
    </row>
    <row r="201" spans="19:19" x14ac:dyDescent="0.2">
      <c r="S201" s="82" t="str">
        <f t="shared" si="3"/>
        <v/>
      </c>
    </row>
    <row r="202" spans="19:19" x14ac:dyDescent="0.2">
      <c r="S202" s="82" t="str">
        <f t="shared" si="3"/>
        <v/>
      </c>
    </row>
    <row r="203" spans="19:19" x14ac:dyDescent="0.2">
      <c r="S203" s="82" t="str">
        <f t="shared" si="3"/>
        <v/>
      </c>
    </row>
    <row r="204" spans="19:19" x14ac:dyDescent="0.2">
      <c r="S204" s="82" t="str">
        <f t="shared" si="3"/>
        <v/>
      </c>
    </row>
    <row r="205" spans="19:19" x14ac:dyDescent="0.2">
      <c r="S205" s="82" t="str">
        <f t="shared" si="3"/>
        <v/>
      </c>
    </row>
    <row r="206" spans="19:19" x14ac:dyDescent="0.2">
      <c r="S206" s="82" t="str">
        <f t="shared" si="3"/>
        <v/>
      </c>
    </row>
    <row r="207" spans="19:19" x14ac:dyDescent="0.2">
      <c r="S207" s="82" t="str">
        <f t="shared" si="3"/>
        <v/>
      </c>
    </row>
    <row r="208" spans="19:19" x14ac:dyDescent="0.2">
      <c r="S208" s="82" t="str">
        <f t="shared" si="3"/>
        <v/>
      </c>
    </row>
    <row r="209" spans="19:19" x14ac:dyDescent="0.2">
      <c r="S209" s="82" t="str">
        <f t="shared" si="3"/>
        <v/>
      </c>
    </row>
    <row r="210" spans="19:19" x14ac:dyDescent="0.2">
      <c r="S210" s="82" t="str">
        <f t="shared" si="3"/>
        <v/>
      </c>
    </row>
    <row r="211" spans="19:19" x14ac:dyDescent="0.2">
      <c r="S211" s="82" t="str">
        <f t="shared" si="3"/>
        <v/>
      </c>
    </row>
    <row r="212" spans="19:19" x14ac:dyDescent="0.2">
      <c r="S212" s="82" t="str">
        <f t="shared" si="3"/>
        <v/>
      </c>
    </row>
    <row r="213" spans="19:19" x14ac:dyDescent="0.2">
      <c r="S213" s="82" t="str">
        <f t="shared" si="3"/>
        <v/>
      </c>
    </row>
    <row r="214" spans="19:19" x14ac:dyDescent="0.2">
      <c r="S214" s="82" t="str">
        <f t="shared" si="3"/>
        <v/>
      </c>
    </row>
    <row r="215" spans="19:19" x14ac:dyDescent="0.2">
      <c r="S215" s="82" t="str">
        <f t="shared" si="3"/>
        <v/>
      </c>
    </row>
    <row r="216" spans="19:19" x14ac:dyDescent="0.2">
      <c r="S216" s="82" t="str">
        <f t="shared" si="3"/>
        <v/>
      </c>
    </row>
    <row r="217" spans="19:19" x14ac:dyDescent="0.2">
      <c r="S217" s="82" t="str">
        <f t="shared" si="3"/>
        <v/>
      </c>
    </row>
    <row r="218" spans="19:19" x14ac:dyDescent="0.2">
      <c r="S218" s="82" t="str">
        <f t="shared" si="3"/>
        <v/>
      </c>
    </row>
    <row r="219" spans="19:19" x14ac:dyDescent="0.2">
      <c r="S219" s="82" t="str">
        <f t="shared" si="3"/>
        <v/>
      </c>
    </row>
    <row r="220" spans="19:19" x14ac:dyDescent="0.2">
      <c r="S220" s="82" t="str">
        <f t="shared" si="3"/>
        <v/>
      </c>
    </row>
    <row r="221" spans="19:19" x14ac:dyDescent="0.2">
      <c r="S221" s="82" t="str">
        <f t="shared" si="3"/>
        <v/>
      </c>
    </row>
    <row r="222" spans="19:19" x14ac:dyDescent="0.2">
      <c r="S222" s="82" t="str">
        <f t="shared" si="3"/>
        <v/>
      </c>
    </row>
    <row r="223" spans="19:19" x14ac:dyDescent="0.2">
      <c r="S223" s="82" t="str">
        <f t="shared" si="3"/>
        <v/>
      </c>
    </row>
    <row r="224" spans="19:19" x14ac:dyDescent="0.2">
      <c r="S224" s="82" t="str">
        <f t="shared" si="3"/>
        <v/>
      </c>
    </row>
    <row r="225" spans="19:19" x14ac:dyDescent="0.2">
      <c r="S225" s="82" t="str">
        <f t="shared" si="3"/>
        <v/>
      </c>
    </row>
    <row r="226" spans="19:19" x14ac:dyDescent="0.2">
      <c r="S226" s="82" t="str">
        <f t="shared" si="3"/>
        <v/>
      </c>
    </row>
    <row r="227" spans="19:19" x14ac:dyDescent="0.2">
      <c r="S227" s="82" t="str">
        <f t="shared" si="3"/>
        <v/>
      </c>
    </row>
    <row r="228" spans="19:19" x14ac:dyDescent="0.2">
      <c r="S228" s="82" t="str">
        <f t="shared" si="3"/>
        <v/>
      </c>
    </row>
    <row r="229" spans="19:19" x14ac:dyDescent="0.2">
      <c r="S229" s="82" t="str">
        <f t="shared" si="3"/>
        <v/>
      </c>
    </row>
    <row r="230" spans="19:19" x14ac:dyDescent="0.2">
      <c r="S230" s="82" t="str">
        <f t="shared" si="3"/>
        <v/>
      </c>
    </row>
    <row r="231" spans="19:19" x14ac:dyDescent="0.2">
      <c r="S231" s="82" t="str">
        <f t="shared" si="3"/>
        <v/>
      </c>
    </row>
    <row r="232" spans="19:19" x14ac:dyDescent="0.2">
      <c r="S232" s="82" t="str">
        <f t="shared" si="3"/>
        <v/>
      </c>
    </row>
    <row r="233" spans="19:19" x14ac:dyDescent="0.2">
      <c r="S233" s="82" t="str">
        <f t="shared" si="3"/>
        <v/>
      </c>
    </row>
    <row r="234" spans="19:19" x14ac:dyDescent="0.2">
      <c r="S234" s="82" t="str">
        <f t="shared" si="3"/>
        <v/>
      </c>
    </row>
    <row r="235" spans="19:19" x14ac:dyDescent="0.2">
      <c r="S235" s="82" t="str">
        <f t="shared" si="3"/>
        <v/>
      </c>
    </row>
    <row r="236" spans="19:19" x14ac:dyDescent="0.2">
      <c r="S236" s="82" t="str">
        <f t="shared" si="3"/>
        <v/>
      </c>
    </row>
    <row r="237" spans="19:19" x14ac:dyDescent="0.2">
      <c r="S237" s="82" t="str">
        <f t="shared" si="3"/>
        <v/>
      </c>
    </row>
    <row r="238" spans="19:19" x14ac:dyDescent="0.2">
      <c r="S238" s="82" t="str">
        <f t="shared" si="3"/>
        <v/>
      </c>
    </row>
    <row r="239" spans="19:19" x14ac:dyDescent="0.2">
      <c r="S239" s="82" t="str">
        <f t="shared" si="3"/>
        <v/>
      </c>
    </row>
    <row r="240" spans="19:19" x14ac:dyDescent="0.2">
      <c r="S240" s="82" t="str">
        <f t="shared" si="3"/>
        <v/>
      </c>
    </row>
    <row r="241" spans="19:19" x14ac:dyDescent="0.2">
      <c r="S241" s="82" t="str">
        <f t="shared" si="3"/>
        <v/>
      </c>
    </row>
    <row r="242" spans="19:19" x14ac:dyDescent="0.2">
      <c r="S242" s="82" t="str">
        <f t="shared" si="3"/>
        <v/>
      </c>
    </row>
    <row r="243" spans="19:19" x14ac:dyDescent="0.2">
      <c r="S243" s="82" t="str">
        <f t="shared" si="3"/>
        <v/>
      </c>
    </row>
    <row r="244" spans="19:19" x14ac:dyDescent="0.2">
      <c r="S244" s="82" t="str">
        <f t="shared" si="3"/>
        <v/>
      </c>
    </row>
    <row r="245" spans="19:19" x14ac:dyDescent="0.2">
      <c r="S245" s="82" t="str">
        <f t="shared" si="3"/>
        <v/>
      </c>
    </row>
    <row r="246" spans="19:19" x14ac:dyDescent="0.2">
      <c r="S246" s="82" t="str">
        <f t="shared" si="3"/>
        <v/>
      </c>
    </row>
    <row r="247" spans="19:19" x14ac:dyDescent="0.2">
      <c r="S247" s="82" t="str">
        <f t="shared" si="3"/>
        <v/>
      </c>
    </row>
    <row r="248" spans="19:19" x14ac:dyDescent="0.2">
      <c r="S248" s="82" t="str">
        <f t="shared" si="3"/>
        <v/>
      </c>
    </row>
    <row r="249" spans="19:19" x14ac:dyDescent="0.2">
      <c r="S249" s="82" t="str">
        <f t="shared" si="3"/>
        <v/>
      </c>
    </row>
    <row r="250" spans="19:19" x14ac:dyDescent="0.2">
      <c r="S250" s="82" t="str">
        <f t="shared" si="3"/>
        <v/>
      </c>
    </row>
    <row r="251" spans="19:19" x14ac:dyDescent="0.2">
      <c r="S251" s="82" t="str">
        <f t="shared" si="3"/>
        <v/>
      </c>
    </row>
    <row r="252" spans="19:19" x14ac:dyDescent="0.2">
      <c r="S252" s="82" t="str">
        <f t="shared" si="3"/>
        <v/>
      </c>
    </row>
    <row r="253" spans="19:19" x14ac:dyDescent="0.2">
      <c r="S253" s="82" t="str">
        <f t="shared" si="3"/>
        <v/>
      </c>
    </row>
    <row r="254" spans="19:19" x14ac:dyDescent="0.2">
      <c r="S254" s="82" t="str">
        <f t="shared" si="3"/>
        <v/>
      </c>
    </row>
    <row r="255" spans="19:19" x14ac:dyDescent="0.2">
      <c r="S255" s="82" t="str">
        <f t="shared" si="3"/>
        <v/>
      </c>
    </row>
    <row r="256" spans="19:19" x14ac:dyDescent="0.2">
      <c r="S256" s="82" t="str">
        <f t="shared" si="3"/>
        <v/>
      </c>
    </row>
    <row r="257" spans="19:19" x14ac:dyDescent="0.2">
      <c r="S257" s="82" t="str">
        <f t="shared" si="3"/>
        <v/>
      </c>
    </row>
    <row r="258" spans="19:19" x14ac:dyDescent="0.2">
      <c r="S258" s="82" t="str">
        <f t="shared" si="3"/>
        <v/>
      </c>
    </row>
    <row r="259" spans="19:19" x14ac:dyDescent="0.2">
      <c r="S259" s="82" t="str">
        <f t="shared" si="3"/>
        <v/>
      </c>
    </row>
    <row r="260" spans="19:19" x14ac:dyDescent="0.2">
      <c r="S260" s="82" t="str">
        <f t="shared" si="3"/>
        <v/>
      </c>
    </row>
    <row r="261" spans="19:19" x14ac:dyDescent="0.2">
      <c r="S261" s="82" t="str">
        <f t="shared" ref="S261:S324" si="4">IF(A261&gt;0,(A261&amp;"  ("&amp;J261&amp;", "&amp;TEXT(K261,"dd-mmm-yyyy")&amp;", "&amp;L261&amp;")"),"")</f>
        <v/>
      </c>
    </row>
    <row r="262" spans="19:19" x14ac:dyDescent="0.2">
      <c r="S262" s="82" t="str">
        <f t="shared" si="4"/>
        <v/>
      </c>
    </row>
    <row r="263" spans="19:19" x14ac:dyDescent="0.2">
      <c r="S263" s="82" t="str">
        <f t="shared" si="4"/>
        <v/>
      </c>
    </row>
    <row r="264" spans="19:19" x14ac:dyDescent="0.2">
      <c r="S264" s="82" t="str">
        <f t="shared" si="4"/>
        <v/>
      </c>
    </row>
    <row r="265" spans="19:19" x14ac:dyDescent="0.2">
      <c r="S265" s="82" t="str">
        <f t="shared" si="4"/>
        <v/>
      </c>
    </row>
    <row r="266" spans="19:19" x14ac:dyDescent="0.2">
      <c r="S266" s="82" t="str">
        <f t="shared" si="4"/>
        <v/>
      </c>
    </row>
    <row r="267" spans="19:19" x14ac:dyDescent="0.2">
      <c r="S267" s="82" t="str">
        <f t="shared" si="4"/>
        <v/>
      </c>
    </row>
    <row r="268" spans="19:19" x14ac:dyDescent="0.2">
      <c r="S268" s="82" t="str">
        <f t="shared" si="4"/>
        <v/>
      </c>
    </row>
    <row r="269" spans="19:19" x14ac:dyDescent="0.2">
      <c r="S269" s="82" t="str">
        <f t="shared" si="4"/>
        <v/>
      </c>
    </row>
    <row r="270" spans="19:19" x14ac:dyDescent="0.2">
      <c r="S270" s="82" t="str">
        <f t="shared" si="4"/>
        <v/>
      </c>
    </row>
    <row r="271" spans="19:19" x14ac:dyDescent="0.2">
      <c r="S271" s="82" t="str">
        <f t="shared" si="4"/>
        <v/>
      </c>
    </row>
    <row r="272" spans="19:19" x14ac:dyDescent="0.2">
      <c r="S272" s="82" t="str">
        <f t="shared" si="4"/>
        <v/>
      </c>
    </row>
    <row r="273" spans="19:19" x14ac:dyDescent="0.2">
      <c r="S273" s="82" t="str">
        <f t="shared" si="4"/>
        <v/>
      </c>
    </row>
    <row r="274" spans="19:19" x14ac:dyDescent="0.2">
      <c r="S274" s="82" t="str">
        <f t="shared" si="4"/>
        <v/>
      </c>
    </row>
    <row r="275" spans="19:19" x14ac:dyDescent="0.2">
      <c r="S275" s="82" t="str">
        <f t="shared" si="4"/>
        <v/>
      </c>
    </row>
    <row r="276" spans="19:19" x14ac:dyDescent="0.2">
      <c r="S276" s="82" t="str">
        <f t="shared" si="4"/>
        <v/>
      </c>
    </row>
    <row r="277" spans="19:19" x14ac:dyDescent="0.2">
      <c r="S277" s="82" t="str">
        <f t="shared" si="4"/>
        <v/>
      </c>
    </row>
    <row r="278" spans="19:19" x14ac:dyDescent="0.2">
      <c r="S278" s="82" t="str">
        <f t="shared" si="4"/>
        <v/>
      </c>
    </row>
    <row r="279" spans="19:19" x14ac:dyDescent="0.2">
      <c r="S279" s="82" t="str">
        <f t="shared" si="4"/>
        <v/>
      </c>
    </row>
    <row r="280" spans="19:19" x14ac:dyDescent="0.2">
      <c r="S280" s="82" t="str">
        <f t="shared" si="4"/>
        <v/>
      </c>
    </row>
    <row r="281" spans="19:19" x14ac:dyDescent="0.2">
      <c r="S281" s="82" t="str">
        <f t="shared" si="4"/>
        <v/>
      </c>
    </row>
    <row r="282" spans="19:19" x14ac:dyDescent="0.2">
      <c r="S282" s="82" t="str">
        <f t="shared" si="4"/>
        <v/>
      </c>
    </row>
    <row r="283" spans="19:19" x14ac:dyDescent="0.2">
      <c r="S283" s="82" t="str">
        <f t="shared" si="4"/>
        <v/>
      </c>
    </row>
    <row r="284" spans="19:19" x14ac:dyDescent="0.2">
      <c r="S284" s="82" t="str">
        <f t="shared" si="4"/>
        <v/>
      </c>
    </row>
    <row r="285" spans="19:19" x14ac:dyDescent="0.2">
      <c r="S285" s="82" t="str">
        <f t="shared" si="4"/>
        <v/>
      </c>
    </row>
    <row r="286" spans="19:19" x14ac:dyDescent="0.2">
      <c r="S286" s="82" t="str">
        <f t="shared" si="4"/>
        <v/>
      </c>
    </row>
    <row r="287" spans="19:19" x14ac:dyDescent="0.2">
      <c r="S287" s="82" t="str">
        <f t="shared" si="4"/>
        <v/>
      </c>
    </row>
    <row r="288" spans="19:19" x14ac:dyDescent="0.2">
      <c r="S288" s="82" t="str">
        <f t="shared" si="4"/>
        <v/>
      </c>
    </row>
    <row r="289" spans="19:19" x14ac:dyDescent="0.2">
      <c r="S289" s="82" t="str">
        <f t="shared" si="4"/>
        <v/>
      </c>
    </row>
    <row r="290" spans="19:19" x14ac:dyDescent="0.2">
      <c r="S290" s="82" t="str">
        <f t="shared" si="4"/>
        <v/>
      </c>
    </row>
    <row r="291" spans="19:19" x14ac:dyDescent="0.2">
      <c r="S291" s="82" t="str">
        <f t="shared" si="4"/>
        <v/>
      </c>
    </row>
    <row r="292" spans="19:19" x14ac:dyDescent="0.2">
      <c r="S292" s="82" t="str">
        <f t="shared" si="4"/>
        <v/>
      </c>
    </row>
    <row r="293" spans="19:19" x14ac:dyDescent="0.2">
      <c r="S293" s="82" t="str">
        <f t="shared" si="4"/>
        <v/>
      </c>
    </row>
    <row r="294" spans="19:19" x14ac:dyDescent="0.2">
      <c r="S294" s="82" t="str">
        <f t="shared" si="4"/>
        <v/>
      </c>
    </row>
    <row r="295" spans="19:19" x14ac:dyDescent="0.2">
      <c r="S295" s="82" t="str">
        <f t="shared" si="4"/>
        <v/>
      </c>
    </row>
    <row r="296" spans="19:19" x14ac:dyDescent="0.2">
      <c r="S296" s="82" t="str">
        <f t="shared" si="4"/>
        <v/>
      </c>
    </row>
    <row r="297" spans="19:19" x14ac:dyDescent="0.2">
      <c r="S297" s="82" t="str">
        <f t="shared" si="4"/>
        <v/>
      </c>
    </row>
    <row r="298" spans="19:19" x14ac:dyDescent="0.2">
      <c r="S298" s="82" t="str">
        <f t="shared" si="4"/>
        <v/>
      </c>
    </row>
    <row r="299" spans="19:19" x14ac:dyDescent="0.2">
      <c r="S299" s="82" t="str">
        <f t="shared" si="4"/>
        <v/>
      </c>
    </row>
    <row r="300" spans="19:19" x14ac:dyDescent="0.2">
      <c r="S300" s="82" t="str">
        <f t="shared" si="4"/>
        <v/>
      </c>
    </row>
    <row r="301" spans="19:19" x14ac:dyDescent="0.2">
      <c r="S301" s="82" t="str">
        <f t="shared" si="4"/>
        <v/>
      </c>
    </row>
    <row r="302" spans="19:19" x14ac:dyDescent="0.2">
      <c r="S302" s="82" t="str">
        <f t="shared" si="4"/>
        <v/>
      </c>
    </row>
    <row r="303" spans="19:19" x14ac:dyDescent="0.2">
      <c r="S303" s="82" t="str">
        <f t="shared" si="4"/>
        <v/>
      </c>
    </row>
    <row r="304" spans="19:19" x14ac:dyDescent="0.2">
      <c r="S304" s="82" t="str">
        <f t="shared" si="4"/>
        <v/>
      </c>
    </row>
    <row r="305" spans="19:19" x14ac:dyDescent="0.2">
      <c r="S305" s="82" t="str">
        <f t="shared" si="4"/>
        <v/>
      </c>
    </row>
    <row r="306" spans="19:19" x14ac:dyDescent="0.2">
      <c r="S306" s="82" t="str">
        <f t="shared" si="4"/>
        <v/>
      </c>
    </row>
    <row r="307" spans="19:19" x14ac:dyDescent="0.2">
      <c r="S307" s="82" t="str">
        <f t="shared" si="4"/>
        <v/>
      </c>
    </row>
    <row r="308" spans="19:19" x14ac:dyDescent="0.2">
      <c r="S308" s="82" t="str">
        <f t="shared" si="4"/>
        <v/>
      </c>
    </row>
    <row r="309" spans="19:19" x14ac:dyDescent="0.2">
      <c r="S309" s="82" t="str">
        <f t="shared" si="4"/>
        <v/>
      </c>
    </row>
    <row r="310" spans="19:19" x14ac:dyDescent="0.2">
      <c r="S310" s="82" t="str">
        <f t="shared" si="4"/>
        <v/>
      </c>
    </row>
    <row r="311" spans="19:19" x14ac:dyDescent="0.2">
      <c r="S311" s="82" t="str">
        <f t="shared" si="4"/>
        <v/>
      </c>
    </row>
    <row r="312" spans="19:19" x14ac:dyDescent="0.2">
      <c r="S312" s="82" t="str">
        <f t="shared" si="4"/>
        <v/>
      </c>
    </row>
    <row r="313" spans="19:19" x14ac:dyDescent="0.2">
      <c r="S313" s="82" t="str">
        <f t="shared" si="4"/>
        <v/>
      </c>
    </row>
    <row r="314" spans="19:19" x14ac:dyDescent="0.2">
      <c r="S314" s="82" t="str">
        <f t="shared" si="4"/>
        <v/>
      </c>
    </row>
    <row r="315" spans="19:19" x14ac:dyDescent="0.2">
      <c r="S315" s="82" t="str">
        <f t="shared" si="4"/>
        <v/>
      </c>
    </row>
    <row r="316" spans="19:19" x14ac:dyDescent="0.2">
      <c r="S316" s="82" t="str">
        <f t="shared" si="4"/>
        <v/>
      </c>
    </row>
    <row r="317" spans="19:19" x14ac:dyDescent="0.2">
      <c r="S317" s="82" t="str">
        <f t="shared" si="4"/>
        <v/>
      </c>
    </row>
    <row r="318" spans="19:19" x14ac:dyDescent="0.2">
      <c r="S318" s="82" t="str">
        <f t="shared" si="4"/>
        <v/>
      </c>
    </row>
    <row r="319" spans="19:19" x14ac:dyDescent="0.2">
      <c r="S319" s="82" t="str">
        <f t="shared" si="4"/>
        <v/>
      </c>
    </row>
    <row r="320" spans="19:19" x14ac:dyDescent="0.2">
      <c r="S320" s="82" t="str">
        <f t="shared" si="4"/>
        <v/>
      </c>
    </row>
    <row r="321" spans="19:19" x14ac:dyDescent="0.2">
      <c r="S321" s="82" t="str">
        <f t="shared" si="4"/>
        <v/>
      </c>
    </row>
    <row r="322" spans="19:19" x14ac:dyDescent="0.2">
      <c r="S322" s="82" t="str">
        <f t="shared" si="4"/>
        <v/>
      </c>
    </row>
    <row r="323" spans="19:19" x14ac:dyDescent="0.2">
      <c r="S323" s="82" t="str">
        <f t="shared" si="4"/>
        <v/>
      </c>
    </row>
    <row r="324" spans="19:19" x14ac:dyDescent="0.2">
      <c r="S324" s="82" t="str">
        <f t="shared" si="4"/>
        <v/>
      </c>
    </row>
    <row r="325" spans="19:19" x14ac:dyDescent="0.2">
      <c r="S325" s="82" t="str">
        <f t="shared" ref="S325:S388" si="5">IF(A325&gt;0,(A325&amp;"  ("&amp;J325&amp;", "&amp;TEXT(K325,"dd-mmm-yyyy")&amp;", "&amp;L325&amp;")"),"")</f>
        <v/>
      </c>
    </row>
    <row r="326" spans="19:19" x14ac:dyDescent="0.2">
      <c r="S326" s="82" t="str">
        <f t="shared" si="5"/>
        <v/>
      </c>
    </row>
    <row r="327" spans="19:19" x14ac:dyDescent="0.2">
      <c r="S327" s="82" t="str">
        <f t="shared" si="5"/>
        <v/>
      </c>
    </row>
    <row r="328" spans="19:19" x14ac:dyDescent="0.2">
      <c r="S328" s="82" t="str">
        <f t="shared" si="5"/>
        <v/>
      </c>
    </row>
    <row r="329" spans="19:19" x14ac:dyDescent="0.2">
      <c r="S329" s="82" t="str">
        <f t="shared" si="5"/>
        <v/>
      </c>
    </row>
    <row r="330" spans="19:19" x14ac:dyDescent="0.2">
      <c r="S330" s="82" t="str">
        <f t="shared" si="5"/>
        <v/>
      </c>
    </row>
    <row r="331" spans="19:19" x14ac:dyDescent="0.2">
      <c r="S331" s="82" t="str">
        <f t="shared" si="5"/>
        <v/>
      </c>
    </row>
    <row r="332" spans="19:19" x14ac:dyDescent="0.2">
      <c r="S332" s="82" t="str">
        <f t="shared" si="5"/>
        <v/>
      </c>
    </row>
    <row r="333" spans="19:19" x14ac:dyDescent="0.2">
      <c r="S333" s="82" t="str">
        <f t="shared" si="5"/>
        <v/>
      </c>
    </row>
    <row r="334" spans="19:19" x14ac:dyDescent="0.2">
      <c r="S334" s="82" t="str">
        <f t="shared" si="5"/>
        <v/>
      </c>
    </row>
    <row r="335" spans="19:19" x14ac:dyDescent="0.2">
      <c r="S335" s="82" t="str">
        <f t="shared" si="5"/>
        <v/>
      </c>
    </row>
    <row r="336" spans="19:19" x14ac:dyDescent="0.2">
      <c r="S336" s="82" t="str">
        <f t="shared" si="5"/>
        <v/>
      </c>
    </row>
    <row r="337" spans="19:19" x14ac:dyDescent="0.2">
      <c r="S337" s="82" t="str">
        <f t="shared" si="5"/>
        <v/>
      </c>
    </row>
    <row r="338" spans="19:19" x14ac:dyDescent="0.2">
      <c r="S338" s="82" t="str">
        <f t="shared" si="5"/>
        <v/>
      </c>
    </row>
    <row r="339" spans="19:19" x14ac:dyDescent="0.2">
      <c r="S339" s="82" t="str">
        <f t="shared" si="5"/>
        <v/>
      </c>
    </row>
    <row r="340" spans="19:19" x14ac:dyDescent="0.2">
      <c r="S340" s="82" t="str">
        <f t="shared" si="5"/>
        <v/>
      </c>
    </row>
    <row r="341" spans="19:19" x14ac:dyDescent="0.2">
      <c r="S341" s="82" t="str">
        <f t="shared" si="5"/>
        <v/>
      </c>
    </row>
    <row r="342" spans="19:19" x14ac:dyDescent="0.2">
      <c r="S342" s="82" t="str">
        <f t="shared" si="5"/>
        <v/>
      </c>
    </row>
    <row r="343" spans="19:19" x14ac:dyDescent="0.2">
      <c r="S343" s="82" t="str">
        <f t="shared" si="5"/>
        <v/>
      </c>
    </row>
    <row r="344" spans="19:19" x14ac:dyDescent="0.2">
      <c r="S344" s="82" t="str">
        <f t="shared" si="5"/>
        <v/>
      </c>
    </row>
    <row r="345" spans="19:19" x14ac:dyDescent="0.2">
      <c r="S345" s="82" t="str">
        <f t="shared" si="5"/>
        <v/>
      </c>
    </row>
    <row r="346" spans="19:19" x14ac:dyDescent="0.2">
      <c r="S346" s="82" t="str">
        <f t="shared" si="5"/>
        <v/>
      </c>
    </row>
    <row r="347" spans="19:19" x14ac:dyDescent="0.2">
      <c r="S347" s="82" t="str">
        <f t="shared" si="5"/>
        <v/>
      </c>
    </row>
    <row r="348" spans="19:19" x14ac:dyDescent="0.2">
      <c r="S348" s="82" t="str">
        <f t="shared" si="5"/>
        <v/>
      </c>
    </row>
    <row r="349" spans="19:19" x14ac:dyDescent="0.2">
      <c r="S349" s="82" t="str">
        <f t="shared" si="5"/>
        <v/>
      </c>
    </row>
    <row r="350" spans="19:19" x14ac:dyDescent="0.2">
      <c r="S350" s="82" t="str">
        <f t="shared" si="5"/>
        <v/>
      </c>
    </row>
    <row r="351" spans="19:19" x14ac:dyDescent="0.2">
      <c r="S351" s="82" t="str">
        <f t="shared" si="5"/>
        <v/>
      </c>
    </row>
    <row r="352" spans="19:19" x14ac:dyDescent="0.2">
      <c r="S352" s="82" t="str">
        <f t="shared" si="5"/>
        <v/>
      </c>
    </row>
    <row r="353" spans="19:19" x14ac:dyDescent="0.2">
      <c r="S353" s="82" t="str">
        <f t="shared" si="5"/>
        <v/>
      </c>
    </row>
    <row r="354" spans="19:19" x14ac:dyDescent="0.2">
      <c r="S354" s="82" t="str">
        <f t="shared" si="5"/>
        <v/>
      </c>
    </row>
    <row r="355" spans="19:19" x14ac:dyDescent="0.2">
      <c r="S355" s="82" t="str">
        <f t="shared" si="5"/>
        <v/>
      </c>
    </row>
    <row r="356" spans="19:19" x14ac:dyDescent="0.2">
      <c r="S356" s="82" t="str">
        <f t="shared" si="5"/>
        <v/>
      </c>
    </row>
    <row r="357" spans="19:19" x14ac:dyDescent="0.2">
      <c r="S357" s="82" t="str">
        <f t="shared" si="5"/>
        <v/>
      </c>
    </row>
    <row r="358" spans="19:19" x14ac:dyDescent="0.2">
      <c r="S358" s="82" t="str">
        <f t="shared" si="5"/>
        <v/>
      </c>
    </row>
    <row r="359" spans="19:19" x14ac:dyDescent="0.2">
      <c r="S359" s="82" t="str">
        <f t="shared" si="5"/>
        <v/>
      </c>
    </row>
    <row r="360" spans="19:19" x14ac:dyDescent="0.2">
      <c r="S360" s="82" t="str">
        <f t="shared" si="5"/>
        <v/>
      </c>
    </row>
    <row r="361" spans="19:19" x14ac:dyDescent="0.2">
      <c r="S361" s="82" t="str">
        <f t="shared" si="5"/>
        <v/>
      </c>
    </row>
    <row r="362" spans="19:19" x14ac:dyDescent="0.2">
      <c r="S362" s="82" t="str">
        <f t="shared" si="5"/>
        <v/>
      </c>
    </row>
    <row r="363" spans="19:19" x14ac:dyDescent="0.2">
      <c r="S363" s="82" t="str">
        <f t="shared" si="5"/>
        <v/>
      </c>
    </row>
    <row r="364" spans="19:19" x14ac:dyDescent="0.2">
      <c r="S364" s="82" t="str">
        <f t="shared" si="5"/>
        <v/>
      </c>
    </row>
    <row r="365" spans="19:19" x14ac:dyDescent="0.2">
      <c r="S365" s="82" t="str">
        <f t="shared" si="5"/>
        <v/>
      </c>
    </row>
    <row r="366" spans="19:19" x14ac:dyDescent="0.2">
      <c r="S366" s="82" t="str">
        <f t="shared" si="5"/>
        <v/>
      </c>
    </row>
    <row r="367" spans="19:19" x14ac:dyDescent="0.2">
      <c r="S367" s="82" t="str">
        <f t="shared" si="5"/>
        <v/>
      </c>
    </row>
    <row r="368" spans="19:19" x14ac:dyDescent="0.2">
      <c r="S368" s="82" t="str">
        <f t="shared" si="5"/>
        <v/>
      </c>
    </row>
    <row r="369" spans="19:19" x14ac:dyDescent="0.2">
      <c r="S369" s="82" t="str">
        <f t="shared" si="5"/>
        <v/>
      </c>
    </row>
    <row r="370" spans="19:19" x14ac:dyDescent="0.2">
      <c r="S370" s="82" t="str">
        <f t="shared" si="5"/>
        <v/>
      </c>
    </row>
    <row r="371" spans="19:19" x14ac:dyDescent="0.2">
      <c r="S371" s="82" t="str">
        <f t="shared" si="5"/>
        <v/>
      </c>
    </row>
    <row r="372" spans="19:19" x14ac:dyDescent="0.2">
      <c r="S372" s="82" t="str">
        <f t="shared" si="5"/>
        <v/>
      </c>
    </row>
    <row r="373" spans="19:19" x14ac:dyDescent="0.2">
      <c r="S373" s="82" t="str">
        <f t="shared" si="5"/>
        <v/>
      </c>
    </row>
    <row r="374" spans="19:19" x14ac:dyDescent="0.2">
      <c r="S374" s="82" t="str">
        <f t="shared" si="5"/>
        <v/>
      </c>
    </row>
    <row r="375" spans="19:19" x14ac:dyDescent="0.2">
      <c r="S375" s="82" t="str">
        <f t="shared" si="5"/>
        <v/>
      </c>
    </row>
    <row r="376" spans="19:19" x14ac:dyDescent="0.2">
      <c r="S376" s="82" t="str">
        <f t="shared" si="5"/>
        <v/>
      </c>
    </row>
    <row r="377" spans="19:19" x14ac:dyDescent="0.2">
      <c r="S377" s="82" t="str">
        <f t="shared" si="5"/>
        <v/>
      </c>
    </row>
    <row r="378" spans="19:19" x14ac:dyDescent="0.2">
      <c r="S378" s="82" t="str">
        <f t="shared" si="5"/>
        <v/>
      </c>
    </row>
    <row r="379" spans="19:19" x14ac:dyDescent="0.2">
      <c r="S379" s="82" t="str">
        <f t="shared" si="5"/>
        <v/>
      </c>
    </row>
    <row r="380" spans="19:19" x14ac:dyDescent="0.2">
      <c r="S380" s="82" t="str">
        <f t="shared" si="5"/>
        <v/>
      </c>
    </row>
    <row r="381" spans="19:19" x14ac:dyDescent="0.2">
      <c r="S381" s="82" t="str">
        <f t="shared" si="5"/>
        <v/>
      </c>
    </row>
    <row r="382" spans="19:19" x14ac:dyDescent="0.2">
      <c r="S382" s="82" t="str">
        <f t="shared" si="5"/>
        <v/>
      </c>
    </row>
    <row r="383" spans="19:19" x14ac:dyDescent="0.2">
      <c r="S383" s="82" t="str">
        <f t="shared" si="5"/>
        <v/>
      </c>
    </row>
    <row r="384" spans="19:19" x14ac:dyDescent="0.2">
      <c r="S384" s="82" t="str">
        <f t="shared" si="5"/>
        <v/>
      </c>
    </row>
    <row r="385" spans="19:19" x14ac:dyDescent="0.2">
      <c r="S385" s="82" t="str">
        <f t="shared" si="5"/>
        <v/>
      </c>
    </row>
    <row r="386" spans="19:19" x14ac:dyDescent="0.2">
      <c r="S386" s="82" t="str">
        <f t="shared" si="5"/>
        <v/>
      </c>
    </row>
    <row r="387" spans="19:19" x14ac:dyDescent="0.2">
      <c r="S387" s="82" t="str">
        <f t="shared" si="5"/>
        <v/>
      </c>
    </row>
    <row r="388" spans="19:19" x14ac:dyDescent="0.2">
      <c r="S388" s="82" t="str">
        <f t="shared" si="5"/>
        <v/>
      </c>
    </row>
    <row r="389" spans="19:19" x14ac:dyDescent="0.2">
      <c r="S389" s="82" t="str">
        <f t="shared" ref="S389:S452" si="6">IF(A389&gt;0,(A389&amp;"  ("&amp;J389&amp;", "&amp;TEXT(K389,"dd-mmm-yyyy")&amp;", "&amp;L389&amp;")"),"")</f>
        <v/>
      </c>
    </row>
    <row r="390" spans="19:19" x14ac:dyDescent="0.2">
      <c r="S390" s="82" t="str">
        <f t="shared" si="6"/>
        <v/>
      </c>
    </row>
    <row r="391" spans="19:19" x14ac:dyDescent="0.2">
      <c r="S391" s="82" t="str">
        <f t="shared" si="6"/>
        <v/>
      </c>
    </row>
    <row r="392" spans="19:19" x14ac:dyDescent="0.2">
      <c r="S392" s="82" t="str">
        <f t="shared" si="6"/>
        <v/>
      </c>
    </row>
    <row r="393" spans="19:19" x14ac:dyDescent="0.2">
      <c r="S393" s="82" t="str">
        <f t="shared" si="6"/>
        <v/>
      </c>
    </row>
    <row r="394" spans="19:19" x14ac:dyDescent="0.2">
      <c r="S394" s="82" t="str">
        <f t="shared" si="6"/>
        <v/>
      </c>
    </row>
    <row r="395" spans="19:19" x14ac:dyDescent="0.2">
      <c r="S395" s="82" t="str">
        <f t="shared" si="6"/>
        <v/>
      </c>
    </row>
    <row r="396" spans="19:19" x14ac:dyDescent="0.2">
      <c r="S396" s="82" t="str">
        <f t="shared" si="6"/>
        <v/>
      </c>
    </row>
    <row r="397" spans="19:19" x14ac:dyDescent="0.2">
      <c r="S397" s="82" t="str">
        <f t="shared" si="6"/>
        <v/>
      </c>
    </row>
    <row r="398" spans="19:19" x14ac:dyDescent="0.2">
      <c r="S398" s="82" t="str">
        <f t="shared" si="6"/>
        <v/>
      </c>
    </row>
    <row r="399" spans="19:19" x14ac:dyDescent="0.2">
      <c r="S399" s="82" t="str">
        <f t="shared" si="6"/>
        <v/>
      </c>
    </row>
    <row r="400" spans="19:19" x14ac:dyDescent="0.2">
      <c r="S400" s="82" t="str">
        <f t="shared" si="6"/>
        <v/>
      </c>
    </row>
    <row r="401" spans="19:19" x14ac:dyDescent="0.2">
      <c r="S401" s="82" t="str">
        <f t="shared" si="6"/>
        <v/>
      </c>
    </row>
    <row r="402" spans="19:19" x14ac:dyDescent="0.2">
      <c r="S402" s="82" t="str">
        <f t="shared" si="6"/>
        <v/>
      </c>
    </row>
    <row r="403" spans="19:19" x14ac:dyDescent="0.2">
      <c r="S403" s="82" t="str">
        <f t="shared" si="6"/>
        <v/>
      </c>
    </row>
    <row r="404" spans="19:19" x14ac:dyDescent="0.2">
      <c r="S404" s="82" t="str">
        <f t="shared" si="6"/>
        <v/>
      </c>
    </row>
    <row r="405" spans="19:19" x14ac:dyDescent="0.2">
      <c r="S405" s="82" t="str">
        <f t="shared" si="6"/>
        <v/>
      </c>
    </row>
    <row r="406" spans="19:19" x14ac:dyDescent="0.2">
      <c r="S406" s="82" t="str">
        <f t="shared" si="6"/>
        <v/>
      </c>
    </row>
    <row r="407" spans="19:19" x14ac:dyDescent="0.2">
      <c r="S407" s="82" t="str">
        <f t="shared" si="6"/>
        <v/>
      </c>
    </row>
    <row r="408" spans="19:19" x14ac:dyDescent="0.2">
      <c r="S408" s="82" t="str">
        <f t="shared" si="6"/>
        <v/>
      </c>
    </row>
    <row r="409" spans="19:19" x14ac:dyDescent="0.2">
      <c r="S409" s="82" t="str">
        <f t="shared" si="6"/>
        <v/>
      </c>
    </row>
    <row r="410" spans="19:19" x14ac:dyDescent="0.2">
      <c r="S410" s="82" t="str">
        <f t="shared" si="6"/>
        <v/>
      </c>
    </row>
    <row r="411" spans="19:19" x14ac:dyDescent="0.2">
      <c r="S411" s="82" t="str">
        <f t="shared" si="6"/>
        <v/>
      </c>
    </row>
    <row r="412" spans="19:19" x14ac:dyDescent="0.2">
      <c r="S412" s="82" t="str">
        <f t="shared" si="6"/>
        <v/>
      </c>
    </row>
    <row r="413" spans="19:19" x14ac:dyDescent="0.2">
      <c r="S413" s="82" t="str">
        <f t="shared" si="6"/>
        <v/>
      </c>
    </row>
    <row r="414" spans="19:19" x14ac:dyDescent="0.2">
      <c r="S414" s="82" t="str">
        <f t="shared" si="6"/>
        <v/>
      </c>
    </row>
    <row r="415" spans="19:19" x14ac:dyDescent="0.2">
      <c r="S415" s="82" t="str">
        <f t="shared" si="6"/>
        <v/>
      </c>
    </row>
    <row r="416" spans="19:19" x14ac:dyDescent="0.2">
      <c r="S416" s="82" t="str">
        <f t="shared" si="6"/>
        <v/>
      </c>
    </row>
    <row r="417" spans="19:19" x14ac:dyDescent="0.2">
      <c r="S417" s="82" t="str">
        <f t="shared" si="6"/>
        <v/>
      </c>
    </row>
    <row r="418" spans="19:19" x14ac:dyDescent="0.2">
      <c r="S418" s="82" t="str">
        <f t="shared" si="6"/>
        <v/>
      </c>
    </row>
    <row r="419" spans="19:19" x14ac:dyDescent="0.2">
      <c r="S419" s="82" t="str">
        <f t="shared" si="6"/>
        <v/>
      </c>
    </row>
    <row r="420" spans="19:19" x14ac:dyDescent="0.2">
      <c r="S420" s="82" t="str">
        <f t="shared" si="6"/>
        <v/>
      </c>
    </row>
    <row r="421" spans="19:19" x14ac:dyDescent="0.2">
      <c r="S421" s="82" t="str">
        <f t="shared" si="6"/>
        <v/>
      </c>
    </row>
    <row r="422" spans="19:19" x14ac:dyDescent="0.2">
      <c r="S422" s="82" t="str">
        <f t="shared" si="6"/>
        <v/>
      </c>
    </row>
    <row r="423" spans="19:19" x14ac:dyDescent="0.2">
      <c r="S423" s="82" t="str">
        <f t="shared" si="6"/>
        <v/>
      </c>
    </row>
    <row r="424" spans="19:19" x14ac:dyDescent="0.2">
      <c r="S424" s="82" t="str">
        <f t="shared" si="6"/>
        <v/>
      </c>
    </row>
    <row r="425" spans="19:19" x14ac:dyDescent="0.2">
      <c r="S425" s="82" t="str">
        <f t="shared" si="6"/>
        <v/>
      </c>
    </row>
    <row r="426" spans="19:19" x14ac:dyDescent="0.2">
      <c r="S426" s="82" t="str">
        <f t="shared" si="6"/>
        <v/>
      </c>
    </row>
    <row r="427" spans="19:19" x14ac:dyDescent="0.2">
      <c r="S427" s="82" t="str">
        <f t="shared" si="6"/>
        <v/>
      </c>
    </row>
    <row r="428" spans="19:19" x14ac:dyDescent="0.2">
      <c r="S428" s="82" t="str">
        <f t="shared" si="6"/>
        <v/>
      </c>
    </row>
    <row r="429" spans="19:19" x14ac:dyDescent="0.2">
      <c r="S429" s="82" t="str">
        <f t="shared" si="6"/>
        <v/>
      </c>
    </row>
    <row r="430" spans="19:19" x14ac:dyDescent="0.2">
      <c r="S430" s="82" t="str">
        <f t="shared" si="6"/>
        <v/>
      </c>
    </row>
    <row r="431" spans="19:19" x14ac:dyDescent="0.2">
      <c r="S431" s="82" t="str">
        <f t="shared" si="6"/>
        <v/>
      </c>
    </row>
    <row r="432" spans="19:19" x14ac:dyDescent="0.2">
      <c r="S432" s="82" t="str">
        <f t="shared" si="6"/>
        <v/>
      </c>
    </row>
    <row r="433" spans="19:19" x14ac:dyDescent="0.2">
      <c r="S433" s="82" t="str">
        <f t="shared" si="6"/>
        <v/>
      </c>
    </row>
    <row r="434" spans="19:19" x14ac:dyDescent="0.2">
      <c r="S434" s="82" t="str">
        <f t="shared" si="6"/>
        <v/>
      </c>
    </row>
    <row r="435" spans="19:19" x14ac:dyDescent="0.2">
      <c r="S435" s="82" t="str">
        <f t="shared" si="6"/>
        <v/>
      </c>
    </row>
    <row r="436" spans="19:19" x14ac:dyDescent="0.2">
      <c r="S436" s="82" t="str">
        <f t="shared" si="6"/>
        <v/>
      </c>
    </row>
    <row r="437" spans="19:19" x14ac:dyDescent="0.2">
      <c r="S437" s="82" t="str">
        <f t="shared" si="6"/>
        <v/>
      </c>
    </row>
    <row r="438" spans="19:19" x14ac:dyDescent="0.2">
      <c r="S438" s="82" t="str">
        <f t="shared" si="6"/>
        <v/>
      </c>
    </row>
    <row r="439" spans="19:19" x14ac:dyDescent="0.2">
      <c r="S439" s="82" t="str">
        <f t="shared" si="6"/>
        <v/>
      </c>
    </row>
    <row r="440" spans="19:19" x14ac:dyDescent="0.2">
      <c r="S440" s="82" t="str">
        <f t="shared" si="6"/>
        <v/>
      </c>
    </row>
    <row r="441" spans="19:19" x14ac:dyDescent="0.2">
      <c r="S441" s="82" t="str">
        <f t="shared" si="6"/>
        <v/>
      </c>
    </row>
    <row r="442" spans="19:19" x14ac:dyDescent="0.2">
      <c r="S442" s="82" t="str">
        <f t="shared" si="6"/>
        <v/>
      </c>
    </row>
    <row r="443" spans="19:19" x14ac:dyDescent="0.2">
      <c r="S443" s="82" t="str">
        <f t="shared" si="6"/>
        <v/>
      </c>
    </row>
    <row r="444" spans="19:19" x14ac:dyDescent="0.2">
      <c r="S444" s="82" t="str">
        <f t="shared" si="6"/>
        <v/>
      </c>
    </row>
    <row r="445" spans="19:19" x14ac:dyDescent="0.2">
      <c r="S445" s="82" t="str">
        <f t="shared" si="6"/>
        <v/>
      </c>
    </row>
    <row r="446" spans="19:19" x14ac:dyDescent="0.2">
      <c r="S446" s="82" t="str">
        <f t="shared" si="6"/>
        <v/>
      </c>
    </row>
    <row r="447" spans="19:19" x14ac:dyDescent="0.2">
      <c r="S447" s="82" t="str">
        <f t="shared" si="6"/>
        <v/>
      </c>
    </row>
    <row r="448" spans="19:19" x14ac:dyDescent="0.2">
      <c r="S448" s="82" t="str">
        <f t="shared" si="6"/>
        <v/>
      </c>
    </row>
    <row r="449" spans="19:19" x14ac:dyDescent="0.2">
      <c r="S449" s="82" t="str">
        <f t="shared" si="6"/>
        <v/>
      </c>
    </row>
    <row r="450" spans="19:19" x14ac:dyDescent="0.2">
      <c r="S450" s="82" t="str">
        <f t="shared" si="6"/>
        <v/>
      </c>
    </row>
    <row r="451" spans="19:19" x14ac:dyDescent="0.2">
      <c r="S451" s="82" t="str">
        <f t="shared" si="6"/>
        <v/>
      </c>
    </row>
    <row r="452" spans="19:19" x14ac:dyDescent="0.2">
      <c r="S452" s="82" t="str">
        <f t="shared" si="6"/>
        <v/>
      </c>
    </row>
    <row r="453" spans="19:19" x14ac:dyDescent="0.2">
      <c r="S453" s="82" t="str">
        <f t="shared" ref="S453:S500" si="7">IF(A453&gt;0,(A453&amp;"  ("&amp;J453&amp;", "&amp;TEXT(K453,"dd-mmm-yyyy")&amp;", "&amp;L453&amp;")"),"")</f>
        <v/>
      </c>
    </row>
    <row r="454" spans="19:19" x14ac:dyDescent="0.2">
      <c r="S454" s="82" t="str">
        <f t="shared" si="7"/>
        <v/>
      </c>
    </row>
    <row r="455" spans="19:19" x14ac:dyDescent="0.2">
      <c r="S455" s="82" t="str">
        <f t="shared" si="7"/>
        <v/>
      </c>
    </row>
    <row r="456" spans="19:19" x14ac:dyDescent="0.2">
      <c r="S456" s="82" t="str">
        <f t="shared" si="7"/>
        <v/>
      </c>
    </row>
    <row r="457" spans="19:19" x14ac:dyDescent="0.2">
      <c r="S457" s="82" t="str">
        <f t="shared" si="7"/>
        <v/>
      </c>
    </row>
    <row r="458" spans="19:19" x14ac:dyDescent="0.2">
      <c r="S458" s="82" t="str">
        <f t="shared" si="7"/>
        <v/>
      </c>
    </row>
    <row r="459" spans="19:19" x14ac:dyDescent="0.2">
      <c r="S459" s="82" t="str">
        <f t="shared" si="7"/>
        <v/>
      </c>
    </row>
    <row r="460" spans="19:19" x14ac:dyDescent="0.2">
      <c r="S460" s="82" t="str">
        <f t="shared" si="7"/>
        <v/>
      </c>
    </row>
    <row r="461" spans="19:19" x14ac:dyDescent="0.2">
      <c r="S461" s="82" t="str">
        <f t="shared" si="7"/>
        <v/>
      </c>
    </row>
    <row r="462" spans="19:19" x14ac:dyDescent="0.2">
      <c r="S462" s="82" t="str">
        <f t="shared" si="7"/>
        <v/>
      </c>
    </row>
    <row r="463" spans="19:19" x14ac:dyDescent="0.2">
      <c r="S463" s="82" t="str">
        <f t="shared" si="7"/>
        <v/>
      </c>
    </row>
    <row r="464" spans="19:19" x14ac:dyDescent="0.2">
      <c r="S464" s="82" t="str">
        <f t="shared" si="7"/>
        <v/>
      </c>
    </row>
    <row r="465" spans="19:19" x14ac:dyDescent="0.2">
      <c r="S465" s="82" t="str">
        <f t="shared" si="7"/>
        <v/>
      </c>
    </row>
    <row r="466" spans="19:19" x14ac:dyDescent="0.2">
      <c r="S466" s="82" t="str">
        <f t="shared" si="7"/>
        <v/>
      </c>
    </row>
    <row r="467" spans="19:19" x14ac:dyDescent="0.2">
      <c r="S467" s="82" t="str">
        <f t="shared" si="7"/>
        <v/>
      </c>
    </row>
    <row r="468" spans="19:19" x14ac:dyDescent="0.2">
      <c r="S468" s="82" t="str">
        <f t="shared" si="7"/>
        <v/>
      </c>
    </row>
    <row r="469" spans="19:19" x14ac:dyDescent="0.2">
      <c r="S469" s="82" t="str">
        <f t="shared" si="7"/>
        <v/>
      </c>
    </row>
    <row r="470" spans="19:19" x14ac:dyDescent="0.2">
      <c r="S470" s="82" t="str">
        <f t="shared" si="7"/>
        <v/>
      </c>
    </row>
    <row r="471" spans="19:19" x14ac:dyDescent="0.2">
      <c r="S471" s="82" t="str">
        <f t="shared" si="7"/>
        <v/>
      </c>
    </row>
    <row r="472" spans="19:19" x14ac:dyDescent="0.2">
      <c r="S472" s="82" t="str">
        <f t="shared" si="7"/>
        <v/>
      </c>
    </row>
    <row r="473" spans="19:19" x14ac:dyDescent="0.2">
      <c r="S473" s="82" t="str">
        <f t="shared" si="7"/>
        <v/>
      </c>
    </row>
    <row r="474" spans="19:19" x14ac:dyDescent="0.2">
      <c r="S474" s="82" t="str">
        <f t="shared" si="7"/>
        <v/>
      </c>
    </row>
    <row r="475" spans="19:19" x14ac:dyDescent="0.2">
      <c r="S475" s="82" t="str">
        <f t="shared" si="7"/>
        <v/>
      </c>
    </row>
    <row r="476" spans="19:19" x14ac:dyDescent="0.2">
      <c r="S476" s="82" t="str">
        <f t="shared" si="7"/>
        <v/>
      </c>
    </row>
    <row r="477" spans="19:19" x14ac:dyDescent="0.2">
      <c r="S477" s="82" t="str">
        <f t="shared" si="7"/>
        <v/>
      </c>
    </row>
    <row r="478" spans="19:19" x14ac:dyDescent="0.2">
      <c r="S478" s="82" t="str">
        <f t="shared" si="7"/>
        <v/>
      </c>
    </row>
    <row r="479" spans="19:19" x14ac:dyDescent="0.2">
      <c r="S479" s="82" t="str">
        <f t="shared" si="7"/>
        <v/>
      </c>
    </row>
    <row r="480" spans="19:19" x14ac:dyDescent="0.2">
      <c r="S480" s="82" t="str">
        <f t="shared" si="7"/>
        <v/>
      </c>
    </row>
    <row r="481" spans="19:19" x14ac:dyDescent="0.2">
      <c r="S481" s="82" t="str">
        <f t="shared" si="7"/>
        <v/>
      </c>
    </row>
    <row r="482" spans="19:19" x14ac:dyDescent="0.2">
      <c r="S482" s="82" t="str">
        <f t="shared" si="7"/>
        <v/>
      </c>
    </row>
    <row r="483" spans="19:19" x14ac:dyDescent="0.2">
      <c r="S483" s="82" t="str">
        <f t="shared" si="7"/>
        <v/>
      </c>
    </row>
    <row r="484" spans="19:19" x14ac:dyDescent="0.2">
      <c r="S484" s="82" t="str">
        <f t="shared" si="7"/>
        <v/>
      </c>
    </row>
    <row r="485" spans="19:19" x14ac:dyDescent="0.2">
      <c r="S485" s="82" t="str">
        <f t="shared" si="7"/>
        <v/>
      </c>
    </row>
    <row r="486" spans="19:19" x14ac:dyDescent="0.2">
      <c r="S486" s="82" t="str">
        <f t="shared" si="7"/>
        <v/>
      </c>
    </row>
    <row r="487" spans="19:19" x14ac:dyDescent="0.2">
      <c r="S487" s="82" t="str">
        <f t="shared" si="7"/>
        <v/>
      </c>
    </row>
    <row r="488" spans="19:19" x14ac:dyDescent="0.2">
      <c r="S488" s="82" t="str">
        <f t="shared" si="7"/>
        <v/>
      </c>
    </row>
    <row r="489" spans="19:19" x14ac:dyDescent="0.2">
      <c r="S489" s="82" t="str">
        <f t="shared" si="7"/>
        <v/>
      </c>
    </row>
    <row r="490" spans="19:19" x14ac:dyDescent="0.2">
      <c r="S490" s="82" t="str">
        <f t="shared" si="7"/>
        <v/>
      </c>
    </row>
    <row r="491" spans="19:19" x14ac:dyDescent="0.2">
      <c r="S491" s="82" t="str">
        <f t="shared" si="7"/>
        <v/>
      </c>
    </row>
    <row r="492" spans="19:19" x14ac:dyDescent="0.2">
      <c r="S492" s="82" t="str">
        <f t="shared" si="7"/>
        <v/>
      </c>
    </row>
    <row r="493" spans="19:19" x14ac:dyDescent="0.2">
      <c r="S493" s="82" t="str">
        <f t="shared" si="7"/>
        <v/>
      </c>
    </row>
    <row r="494" spans="19:19" x14ac:dyDescent="0.2">
      <c r="S494" s="82" t="str">
        <f t="shared" si="7"/>
        <v/>
      </c>
    </row>
    <row r="495" spans="19:19" x14ac:dyDescent="0.2">
      <c r="S495" s="82" t="str">
        <f t="shared" si="7"/>
        <v/>
      </c>
    </row>
    <row r="496" spans="19:19" x14ac:dyDescent="0.2">
      <c r="S496" s="82" t="str">
        <f t="shared" si="7"/>
        <v/>
      </c>
    </row>
    <row r="497" spans="19:19" x14ac:dyDescent="0.2">
      <c r="S497" s="82" t="str">
        <f t="shared" si="7"/>
        <v/>
      </c>
    </row>
    <row r="498" spans="19:19" x14ac:dyDescent="0.2">
      <c r="S498" s="82" t="str">
        <f t="shared" si="7"/>
        <v/>
      </c>
    </row>
    <row r="499" spans="19:19" x14ac:dyDescent="0.2">
      <c r="S499" s="82" t="str">
        <f t="shared" si="7"/>
        <v/>
      </c>
    </row>
    <row r="500" spans="19:19" x14ac:dyDescent="0.2">
      <c r="S500" s="82" t="str">
        <f t="shared" si="7"/>
        <v/>
      </c>
    </row>
  </sheetData>
  <sheetProtection password="FAD4" sheet="1" insertRows="0" autoFilter="0"/>
  <autoFilter ref="A4:N500"/>
  <dataValidations count="10">
    <dataValidation type="date" allowBlank="1" showInputMessage="1" showErrorMessage="1" sqref="H1">
      <formula1>38534</formula1>
      <formula2>38625</formula2>
    </dataValidation>
    <dataValidation operator="notEqual" allowBlank="1" showInputMessage="1" promptTitle="Serial Number" prompt="fill here running serial Nos._x000a_like 1,2,3,4.......so on_x000a__x000a_...PSPL_x000a__x000a__x000a_" sqref="A5:A65536"/>
    <dataValidation allowBlank="1" showInputMessage="1" showErrorMessage="1" promptTitle="Cheque/DD Number" prompt="Enter Correct Cheque/Demand Draft Number_x000a__x000a_PSPL" sqref="I5:I65536"/>
    <dataValidation type="textLength" operator="equal" allowBlank="1" showInputMessage="1" showErrorMessage="1" errorTitle="Bank Branch Code" error="Write the seven digit BSR code of your branch._x000a__x000a_PSPL" promptTitle="Bank Branch Code" prompt="Write the seven digit BSR code of your branch._x000a__x000a_PSPL" sqref="J5:J65536">
      <formula1>7</formula1>
    </dataValidation>
    <dataValidation type="date" operator="lessThanOrEqual" allowBlank="1" showInputMessage="1" showErrorMessage="1" promptTitle="Date Format" prompt="The date format must be dd/mm/yy and it must be within the starting date of financial year and current date._x000a_...PSPL" sqref="K5:K500">
      <formula1>TODAY()</formula1>
    </dataValidation>
    <dataValidation type="date" allowBlank="1" showInputMessage="1" showErrorMessage="1" promptTitle="Date Format" prompt="The date format must be dd/mm/yy and it must be within the starting date of financial year and current date._x000a_...PSPL" sqref="K501:K65536">
      <formula1>date_start</formula1>
      <formula2>TODAY()</formula2>
    </dataValidation>
    <dataValidation type="whole" operator="greaterThan" allowBlank="1" showInputMessage="1" promptTitle="T.V./Ch.No." prompt="Select T.V./Ch.No., which are feeded in Challan Sheet, from Drop Down List only._x000a_...PSPL" sqref="L5:L65536">
      <formula1>0</formula1>
    </dataValidation>
    <dataValidation type="list" allowBlank="1" showInputMessage="1" showErrorMessage="1" promptTitle="Book Entry" prompt="If Challan detail or BSR Code is not available and TDS amount is adjusted through bill/statement, only then select 'Yes' otherwise select 'No'._x000a_...PSPL" sqref="M5:M65536">
      <formula1>"Yes,No"</formula1>
    </dataValidation>
    <dataValidation type="list" allowBlank="1" showInputMessage="1" showErrorMessage="1" promptTitle="Minor Head" prompt="mention minor head as marked on the challan._x000a_...PSPL" sqref="N5:N65536">
      <formula1>"200,400"</formula1>
    </dataValidation>
    <dataValidation type="decimal" allowBlank="1" showInputMessage="1" showErrorMessage="1" promptTitle="Amount format" prompt="DO NOT enter comma (,) and Currency symbol._x000a_Place only two digits after decimal._x000a__x000a_e.g. 20000.50_x000a_       52000.00_x000a__x000a_PSPL" sqref="B5:H65536">
      <formula1>0</formula1>
      <formula2>999999999</formula2>
    </dataValidation>
  </dataValidations>
  <pageMargins left="0.5" right="0.5" top="0.5" bottom="0.5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6"/>
  <sheetViews>
    <sheetView tabSelected="1" zoomScale="103" workbookViewId="0">
      <pane ySplit="3" topLeftCell="A4" activePane="bottomLeft" state="frozenSplit"/>
      <selection pane="bottomLeft" activeCell="L22" sqref="L22"/>
    </sheetView>
  </sheetViews>
  <sheetFormatPr defaultColWidth="0" defaultRowHeight="12.75" x14ac:dyDescent="0.2"/>
  <cols>
    <col min="1" max="1" width="9.7109375" style="47" customWidth="1"/>
    <col min="2" max="2" width="12.7109375" style="47" customWidth="1"/>
    <col min="3" max="3" width="15.7109375" style="15" customWidth="1"/>
    <col min="4" max="4" width="31.28515625" style="15" customWidth="1"/>
    <col min="5" max="5" width="15.7109375" style="48" customWidth="1"/>
    <col min="6" max="6" width="15.7109375" style="15" hidden="1" customWidth="1"/>
    <col min="7" max="7" width="17" style="49" customWidth="1"/>
    <col min="8" max="8" width="16.7109375" style="49" customWidth="1"/>
    <col min="9" max="11" width="12.7109375" style="49" customWidth="1"/>
    <col min="12" max="12" width="18.7109375" style="50" customWidth="1"/>
    <col min="13" max="13" width="15.7109375" style="49" customWidth="1"/>
    <col min="14" max="14" width="15.7109375" style="48" customWidth="1"/>
    <col min="15" max="15" width="14.7109375" style="48" hidden="1" customWidth="1"/>
    <col min="16" max="16" width="24.140625" style="51" hidden="1" customWidth="1"/>
    <col min="17" max="17" width="9.5703125" style="51" hidden="1" customWidth="1"/>
    <col min="18" max="18" width="30.7109375" style="51" customWidth="1"/>
    <col min="19" max="19" width="15.7109375" style="15" customWidth="1"/>
    <col min="20" max="20" width="20.7109375" style="1" customWidth="1"/>
    <col min="21" max="21" width="17" style="15" hidden="1" customWidth="1"/>
    <col min="22" max="22" width="16.42578125" style="15" hidden="1" customWidth="1"/>
    <col min="23" max="23" width="15.7109375" style="15" hidden="1" customWidth="1"/>
    <col min="24" max="25" width="20.7109375" style="15" hidden="1" customWidth="1"/>
    <col min="26" max="29" width="15.7109375" style="15" hidden="1" customWidth="1"/>
    <col min="30" max="30" width="21.140625" style="15" hidden="1" customWidth="1"/>
    <col min="31" max="31" width="15.7109375" style="15" hidden="1" customWidth="1"/>
    <col min="32" max="32" width="20.85546875" style="15" hidden="1" customWidth="1"/>
    <col min="33" max="34" width="15.7109375" style="15" hidden="1" customWidth="1"/>
    <col min="35" max="35" width="20.5703125" style="15" hidden="1" customWidth="1"/>
    <col min="36" max="36" width="19.140625" style="15" hidden="1" customWidth="1"/>
    <col min="37" max="37" width="20.42578125" style="15" hidden="1" customWidth="1"/>
    <col min="38" max="255" width="9.140625" style="15" hidden="1" customWidth="1"/>
    <col min="256" max="256" width="0" style="15" hidden="1"/>
  </cols>
  <sheetData>
    <row r="1" spans="1:256" s="45" customFormat="1" ht="13.5" customHeight="1" x14ac:dyDescent="0.2">
      <c r="A1" s="52"/>
      <c r="B1" s="53"/>
      <c r="C1"/>
      <c r="D1" s="20" t="s">
        <v>2</v>
      </c>
      <c r="E1"/>
      <c r="F1"/>
      <c r="G1"/>
      <c r="H1"/>
      <c r="I1"/>
      <c r="J1"/>
      <c r="K1"/>
      <c r="L1" s="58" t="s">
        <v>24</v>
      </c>
      <c r="M1"/>
      <c r="N1"/>
      <c r="O1" s="59" t="s">
        <v>25</v>
      </c>
      <c r="P1" s="60"/>
      <c r="Q1" s="60"/>
      <c r="R1" s="60"/>
      <c r="S1"/>
      <c r="V1" s="63"/>
    </row>
    <row r="2" spans="1:256" s="45" customFormat="1" ht="45" x14ac:dyDescent="0.2">
      <c r="A2" s="21" t="s">
        <v>26</v>
      </c>
      <c r="B2" s="21" t="s">
        <v>27</v>
      </c>
      <c r="C2" s="21" t="s">
        <v>28</v>
      </c>
      <c r="D2" s="21" t="s">
        <v>29</v>
      </c>
      <c r="E2" s="23" t="s">
        <v>30</v>
      </c>
      <c r="F2" s="23" t="s">
        <v>31</v>
      </c>
      <c r="G2" s="54" t="s">
        <v>32</v>
      </c>
      <c r="H2" s="54" t="s">
        <v>33</v>
      </c>
      <c r="I2" s="54" t="s">
        <v>34</v>
      </c>
      <c r="J2" s="54" t="s">
        <v>35</v>
      </c>
      <c r="K2" s="54" t="s">
        <v>36</v>
      </c>
      <c r="L2" s="54" t="s">
        <v>37</v>
      </c>
      <c r="M2" s="54" t="s">
        <v>38</v>
      </c>
      <c r="N2" s="54" t="s">
        <v>39</v>
      </c>
      <c r="O2" s="26" t="s">
        <v>40</v>
      </c>
      <c r="P2" s="4" t="s">
        <v>41</v>
      </c>
      <c r="Q2" s="12" t="s">
        <v>13</v>
      </c>
      <c r="R2" s="64" t="s">
        <v>42</v>
      </c>
      <c r="S2" s="65" t="s">
        <v>43</v>
      </c>
      <c r="T2" s="65" t="s">
        <v>44</v>
      </c>
      <c r="U2" s="66"/>
      <c r="V2" s="67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9"/>
    </row>
    <row r="3" spans="1:256" s="45" customFormat="1" ht="20.25" customHeight="1" x14ac:dyDescent="0.2">
      <c r="A3" s="26">
        <v>313</v>
      </c>
      <c r="B3" s="26">
        <v>314</v>
      </c>
      <c r="C3" s="26">
        <v>315</v>
      </c>
      <c r="D3" s="26">
        <v>316</v>
      </c>
      <c r="E3" s="26">
        <v>317</v>
      </c>
      <c r="F3" s="26">
        <v>316</v>
      </c>
      <c r="G3" s="26">
        <v>318</v>
      </c>
      <c r="H3" s="26">
        <v>319</v>
      </c>
      <c r="I3" s="26">
        <v>320</v>
      </c>
      <c r="J3" s="26">
        <v>321</v>
      </c>
      <c r="K3" s="26">
        <v>322</v>
      </c>
      <c r="L3" s="26">
        <v>323</v>
      </c>
      <c r="M3" s="26">
        <v>324</v>
      </c>
      <c r="N3" s="26">
        <v>325</v>
      </c>
      <c r="O3" s="26">
        <v>326</v>
      </c>
      <c r="P3" s="4" t="s">
        <v>45</v>
      </c>
      <c r="Q3" s="4" t="s">
        <v>46</v>
      </c>
      <c r="R3" s="64"/>
      <c r="S3" s="68">
        <v>329</v>
      </c>
      <c r="T3" s="68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69"/>
      <c r="EY3" s="69"/>
      <c r="EZ3" s="69"/>
      <c r="FA3" s="69"/>
      <c r="FB3" s="69"/>
      <c r="FC3" s="69"/>
      <c r="FD3" s="69"/>
      <c r="FE3" s="69"/>
      <c r="FF3" s="69"/>
      <c r="FG3" s="69"/>
      <c r="FH3" s="69"/>
      <c r="FI3" s="69"/>
      <c r="FJ3" s="69"/>
      <c r="FK3" s="69"/>
      <c r="FL3" s="69"/>
      <c r="FM3" s="69"/>
      <c r="FN3" s="69"/>
      <c r="FO3" s="69"/>
      <c r="FP3" s="69"/>
      <c r="FQ3" s="69"/>
      <c r="FR3" s="69"/>
      <c r="FS3" s="69"/>
      <c r="FT3" s="69"/>
      <c r="FU3" s="69"/>
      <c r="FV3" s="69"/>
      <c r="FW3" s="69"/>
      <c r="FX3" s="69"/>
      <c r="FY3" s="69"/>
      <c r="FZ3" s="69"/>
      <c r="GA3" s="69"/>
      <c r="GB3" s="69"/>
      <c r="GC3" s="69"/>
      <c r="GD3" s="69"/>
      <c r="GE3" s="69"/>
      <c r="GF3" s="69"/>
      <c r="GG3" s="69"/>
      <c r="GH3" s="69"/>
      <c r="GI3" s="69"/>
      <c r="GJ3" s="69"/>
      <c r="GK3" s="69"/>
      <c r="GL3" s="69"/>
      <c r="GM3" s="69"/>
      <c r="GN3" s="69"/>
      <c r="GO3" s="69"/>
      <c r="GP3" s="69"/>
      <c r="GQ3" s="69"/>
      <c r="GR3" s="69"/>
      <c r="GS3" s="69"/>
      <c r="GT3" s="69"/>
      <c r="GU3" s="69"/>
      <c r="GV3" s="69"/>
      <c r="GW3" s="69"/>
      <c r="GX3" s="69"/>
      <c r="GY3" s="69"/>
      <c r="GZ3" s="69"/>
      <c r="HA3" s="69"/>
      <c r="HB3" s="69"/>
      <c r="HC3" s="69"/>
      <c r="HD3" s="69"/>
      <c r="HE3" s="69"/>
      <c r="HF3" s="69"/>
      <c r="HG3" s="69"/>
      <c r="HH3" s="69"/>
      <c r="HI3" s="69"/>
      <c r="HJ3" s="69"/>
      <c r="HK3" s="69"/>
      <c r="HL3" s="69"/>
      <c r="HM3" s="69"/>
      <c r="HN3" s="69"/>
      <c r="HO3" s="69"/>
      <c r="HP3" s="69"/>
      <c r="HQ3" s="69"/>
      <c r="HR3" s="69"/>
      <c r="HS3" s="69"/>
      <c r="HT3" s="69"/>
      <c r="HU3" s="69"/>
      <c r="HV3" s="69"/>
      <c r="HW3" s="69"/>
      <c r="HX3" s="69"/>
      <c r="HY3" s="69"/>
      <c r="HZ3" s="69"/>
      <c r="IA3" s="69"/>
      <c r="IB3" s="69"/>
      <c r="IC3" s="69"/>
      <c r="ID3" s="69"/>
      <c r="IE3" s="69"/>
      <c r="IF3" s="69"/>
      <c r="IG3" s="69"/>
      <c r="IH3" s="69"/>
      <c r="II3" s="69"/>
      <c r="IJ3" s="69"/>
      <c r="IK3" s="69"/>
      <c r="IL3" s="69"/>
      <c r="IM3" s="69"/>
      <c r="IN3" s="69"/>
      <c r="IO3" s="69"/>
      <c r="IP3" s="69"/>
      <c r="IQ3" s="69"/>
      <c r="IR3" s="69"/>
      <c r="IS3" s="69"/>
      <c r="IT3" s="69"/>
      <c r="IU3" s="69"/>
      <c r="IV3" s="69"/>
    </row>
    <row r="4" spans="1:256" s="46" customFormat="1" x14ac:dyDescent="0.2">
      <c r="A4" s="55"/>
      <c r="B4" s="55"/>
      <c r="C4" s="46" t="s">
        <v>47</v>
      </c>
      <c r="D4" s="46" t="s">
        <v>48</v>
      </c>
      <c r="E4" s="48">
        <v>45688</v>
      </c>
      <c r="F4" s="16"/>
      <c r="G4" s="56">
        <v>85500</v>
      </c>
      <c r="H4" s="56">
        <v>3693</v>
      </c>
      <c r="I4" s="56"/>
      <c r="J4" s="56"/>
      <c r="K4" s="56"/>
      <c r="L4" s="61"/>
      <c r="M4" s="56">
        <v>3693</v>
      </c>
      <c r="N4" s="48">
        <v>45688</v>
      </c>
      <c r="O4" s="48"/>
      <c r="P4" s="62"/>
      <c r="Q4" s="62"/>
      <c r="R4" s="62" t="s">
        <v>49</v>
      </c>
      <c r="S4" s="70"/>
      <c r="T4" s="71"/>
      <c r="U4" s="72"/>
      <c r="V4" s="73"/>
      <c r="W4" s="74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K4" s="56"/>
      <c r="AL4" s="70"/>
    </row>
    <row r="5" spans="1:256" s="46" customFormat="1" x14ac:dyDescent="0.2">
      <c r="A5" s="55"/>
      <c r="B5" s="55"/>
      <c r="C5" s="57" t="s">
        <v>47</v>
      </c>
      <c r="D5" s="15" t="s">
        <v>48</v>
      </c>
      <c r="E5" s="48">
        <v>45716</v>
      </c>
      <c r="F5" s="16"/>
      <c r="G5" s="56">
        <v>85500</v>
      </c>
      <c r="H5" s="56">
        <v>3693</v>
      </c>
      <c r="I5" s="56"/>
      <c r="J5" s="56"/>
      <c r="K5" s="56"/>
      <c r="L5" s="61"/>
      <c r="M5" s="56">
        <v>3693</v>
      </c>
      <c r="N5" s="48">
        <v>45716</v>
      </c>
      <c r="O5" s="48"/>
      <c r="P5" s="62"/>
      <c r="Q5" s="62"/>
      <c r="R5" s="62" t="s">
        <v>50</v>
      </c>
      <c r="S5" s="70"/>
      <c r="T5" s="71"/>
      <c r="U5" s="72"/>
      <c r="V5" s="73"/>
      <c r="W5" s="74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K5" s="56"/>
      <c r="AL5" s="70"/>
    </row>
    <row r="6" spans="1:256" x14ac:dyDescent="0.2">
      <c r="A6" s="55"/>
      <c r="B6" s="55"/>
      <c r="C6" s="57" t="s">
        <v>47</v>
      </c>
      <c r="D6" s="15" t="s">
        <v>48</v>
      </c>
      <c r="E6" s="48">
        <v>45747</v>
      </c>
      <c r="G6" s="56">
        <v>85500</v>
      </c>
      <c r="H6" s="56">
        <v>3693</v>
      </c>
      <c r="I6" s="56"/>
      <c r="M6" s="56">
        <v>3693</v>
      </c>
      <c r="N6" s="48">
        <v>45747</v>
      </c>
      <c r="P6" s="62"/>
      <c r="Q6" s="62"/>
      <c r="R6" s="62" t="s">
        <v>51</v>
      </c>
    </row>
    <row r="7" spans="1:256" x14ac:dyDescent="0.2">
      <c r="A7" s="55"/>
      <c r="B7" s="55"/>
      <c r="C7" s="15" t="s">
        <v>52</v>
      </c>
      <c r="D7" s="15" t="s">
        <v>53</v>
      </c>
      <c r="E7" s="48">
        <v>45688</v>
      </c>
      <c r="G7" s="56">
        <v>64500</v>
      </c>
      <c r="H7" s="56">
        <v>0</v>
      </c>
      <c r="I7" s="56"/>
      <c r="M7" s="56">
        <v>0</v>
      </c>
      <c r="N7" s="48">
        <v>45688</v>
      </c>
      <c r="P7" s="62"/>
      <c r="Q7" s="62"/>
      <c r="R7" s="62" t="s">
        <v>49</v>
      </c>
    </row>
    <row r="8" spans="1:256" x14ac:dyDescent="0.2">
      <c r="A8" s="55"/>
      <c r="B8" s="55"/>
      <c r="C8" s="15" t="s">
        <v>52</v>
      </c>
      <c r="D8" s="15" t="s">
        <v>53</v>
      </c>
      <c r="E8" s="48">
        <v>45716</v>
      </c>
      <c r="G8" s="49">
        <v>64500</v>
      </c>
      <c r="H8" s="49">
        <v>0</v>
      </c>
      <c r="M8" s="49">
        <v>0</v>
      </c>
      <c r="N8" s="48">
        <v>45716</v>
      </c>
      <c r="P8" s="62"/>
      <c r="Q8" s="62"/>
      <c r="R8" s="62" t="s">
        <v>50</v>
      </c>
    </row>
    <row r="9" spans="1:256" x14ac:dyDescent="0.2">
      <c r="A9" s="55"/>
      <c r="B9" s="55"/>
      <c r="C9" s="15" t="s">
        <v>52</v>
      </c>
      <c r="D9" s="15" t="s">
        <v>53</v>
      </c>
      <c r="E9" s="48">
        <v>45747</v>
      </c>
      <c r="G9" s="49">
        <v>64500</v>
      </c>
      <c r="H9" s="49">
        <v>0</v>
      </c>
      <c r="M9" s="49">
        <v>0</v>
      </c>
      <c r="N9" s="48">
        <v>45747</v>
      </c>
      <c r="P9" s="62"/>
      <c r="Q9" s="62"/>
      <c r="R9" s="62" t="s">
        <v>51</v>
      </c>
    </row>
    <row r="10" spans="1:256" x14ac:dyDescent="0.2">
      <c r="A10" s="55"/>
      <c r="B10" s="55"/>
      <c r="C10" s="15" t="s">
        <v>54</v>
      </c>
      <c r="D10" s="15" t="s">
        <v>55</v>
      </c>
      <c r="E10" s="48">
        <v>45688</v>
      </c>
      <c r="G10" s="49">
        <v>200000</v>
      </c>
      <c r="H10" s="49">
        <v>28443</v>
      </c>
      <c r="M10" s="49">
        <v>28443</v>
      </c>
      <c r="N10" s="48">
        <v>45688</v>
      </c>
      <c r="P10" s="62"/>
      <c r="Q10" s="62"/>
      <c r="R10" s="62" t="s">
        <v>49</v>
      </c>
    </row>
    <row r="11" spans="1:256" x14ac:dyDescent="0.2">
      <c r="A11" s="55"/>
      <c r="B11" s="55"/>
      <c r="C11" s="15" t="s">
        <v>54</v>
      </c>
      <c r="D11" s="15" t="s">
        <v>55</v>
      </c>
      <c r="E11" s="48">
        <v>45716</v>
      </c>
      <c r="G11" s="49">
        <v>200000</v>
      </c>
      <c r="H11" s="49">
        <v>28443</v>
      </c>
      <c r="M11" s="49">
        <v>28443</v>
      </c>
      <c r="N11" s="48">
        <v>45716</v>
      </c>
      <c r="P11" s="62"/>
      <c r="Q11" s="62"/>
      <c r="R11" s="62" t="s">
        <v>50</v>
      </c>
    </row>
    <row r="12" spans="1:256" x14ac:dyDescent="0.2">
      <c r="A12" s="55"/>
      <c r="B12" s="55"/>
      <c r="C12" s="15" t="s">
        <v>54</v>
      </c>
      <c r="D12" s="15" t="s">
        <v>55</v>
      </c>
      <c r="E12" s="48">
        <v>45747</v>
      </c>
      <c r="G12" s="49">
        <v>200000</v>
      </c>
      <c r="H12" s="49">
        <v>28443</v>
      </c>
      <c r="M12" s="49">
        <v>28443</v>
      </c>
      <c r="N12" s="48">
        <v>45747</v>
      </c>
      <c r="P12" s="62"/>
      <c r="Q12" s="62"/>
      <c r="R12" s="62" t="s">
        <v>51</v>
      </c>
    </row>
    <row r="13" spans="1:256" x14ac:dyDescent="0.2">
      <c r="A13" s="55"/>
      <c r="B13" s="55"/>
      <c r="C13" s="15" t="s">
        <v>56</v>
      </c>
      <c r="D13" s="15" t="s">
        <v>57</v>
      </c>
      <c r="E13" s="48">
        <v>45688</v>
      </c>
      <c r="G13" s="49">
        <v>125000</v>
      </c>
      <c r="H13" s="49">
        <v>0</v>
      </c>
      <c r="M13" s="49">
        <v>0</v>
      </c>
      <c r="N13" s="48">
        <v>45688</v>
      </c>
      <c r="P13" s="62"/>
      <c r="Q13" s="62"/>
      <c r="R13" s="62" t="s">
        <v>49</v>
      </c>
    </row>
    <row r="14" spans="1:256" x14ac:dyDescent="0.2">
      <c r="A14" s="55"/>
      <c r="B14" s="55"/>
      <c r="C14" s="15" t="s">
        <v>56</v>
      </c>
      <c r="D14" s="15" t="s">
        <v>57</v>
      </c>
      <c r="E14" s="48">
        <v>45716</v>
      </c>
      <c r="G14" s="49">
        <v>125000</v>
      </c>
      <c r="H14" s="49">
        <v>0</v>
      </c>
      <c r="M14" s="49">
        <v>0</v>
      </c>
      <c r="N14" s="48">
        <v>45716</v>
      </c>
      <c r="P14" s="62"/>
      <c r="Q14" s="62"/>
      <c r="R14" s="62" t="s">
        <v>50</v>
      </c>
    </row>
    <row r="15" spans="1:256" x14ac:dyDescent="0.2">
      <c r="A15" s="55"/>
      <c r="B15" s="55"/>
      <c r="C15" s="15" t="s">
        <v>56</v>
      </c>
      <c r="D15" s="15" t="s">
        <v>57</v>
      </c>
      <c r="E15" s="48">
        <v>45747</v>
      </c>
      <c r="G15" s="49">
        <v>125000</v>
      </c>
      <c r="H15" s="49">
        <v>0</v>
      </c>
      <c r="M15" s="49">
        <v>0</v>
      </c>
      <c r="N15" s="48">
        <v>45747</v>
      </c>
      <c r="P15" s="62"/>
      <c r="Q15" s="62"/>
      <c r="R15" s="62" t="s">
        <v>51</v>
      </c>
    </row>
    <row r="16" spans="1:256" x14ac:dyDescent="0.2">
      <c r="A16" s="55"/>
      <c r="B16" s="55"/>
      <c r="C16" s="15" t="s">
        <v>58</v>
      </c>
      <c r="D16" s="15" t="s">
        <v>59</v>
      </c>
      <c r="E16" s="48">
        <v>45688</v>
      </c>
      <c r="G16" s="49">
        <v>500000</v>
      </c>
      <c r="H16" s="49">
        <v>139345</v>
      </c>
      <c r="M16" s="49">
        <v>139345</v>
      </c>
      <c r="N16" s="48">
        <v>45688</v>
      </c>
      <c r="P16" s="62"/>
      <c r="Q16" s="62"/>
      <c r="R16" s="62" t="s">
        <v>49</v>
      </c>
    </row>
    <row r="17" spans="1:18" x14ac:dyDescent="0.2">
      <c r="A17" s="55"/>
      <c r="B17" s="55"/>
      <c r="C17" s="15" t="s">
        <v>58</v>
      </c>
      <c r="D17" s="15" t="s">
        <v>59</v>
      </c>
      <c r="E17" s="48">
        <v>45716</v>
      </c>
      <c r="G17" s="49">
        <v>500000</v>
      </c>
      <c r="H17" s="49">
        <v>139345</v>
      </c>
      <c r="M17" s="49">
        <v>139345</v>
      </c>
      <c r="N17" s="48">
        <v>45716</v>
      </c>
      <c r="P17" s="62"/>
      <c r="Q17" s="62"/>
      <c r="R17" s="62" t="s">
        <v>50</v>
      </c>
    </row>
    <row r="18" spans="1:18" x14ac:dyDescent="0.2">
      <c r="A18" s="55"/>
      <c r="B18" s="55"/>
      <c r="C18" s="15" t="s">
        <v>58</v>
      </c>
      <c r="D18" s="15" t="s">
        <v>59</v>
      </c>
      <c r="E18" s="48">
        <v>45747</v>
      </c>
      <c r="G18" s="49">
        <v>500000</v>
      </c>
      <c r="H18" s="49">
        <v>139345</v>
      </c>
      <c r="M18" s="49">
        <v>139345</v>
      </c>
      <c r="N18" s="48">
        <v>45747</v>
      </c>
      <c r="P18" s="62"/>
      <c r="Q18" s="62"/>
      <c r="R18" s="62" t="s">
        <v>51</v>
      </c>
    </row>
    <row r="19" spans="1:18" x14ac:dyDescent="0.2">
      <c r="A19" s="55"/>
      <c r="B19" s="55"/>
      <c r="C19" s="15" t="s">
        <v>60</v>
      </c>
      <c r="D19" s="15" t="s">
        <v>61</v>
      </c>
      <c r="E19" s="48">
        <v>45688</v>
      </c>
      <c r="G19" s="49">
        <v>300000</v>
      </c>
      <c r="H19" s="49">
        <v>64278</v>
      </c>
      <c r="M19" s="49">
        <v>64278</v>
      </c>
      <c r="N19" s="48">
        <v>45688</v>
      </c>
      <c r="P19" s="62"/>
      <c r="Q19" s="62"/>
      <c r="R19" s="62" t="s">
        <v>49</v>
      </c>
    </row>
    <row r="20" spans="1:18" x14ac:dyDescent="0.2">
      <c r="A20" s="55"/>
      <c r="B20" s="55"/>
      <c r="C20" s="46" t="s">
        <v>60</v>
      </c>
      <c r="D20" s="46" t="s">
        <v>61</v>
      </c>
      <c r="E20" s="48">
        <v>45716</v>
      </c>
      <c r="G20" s="56">
        <v>300000</v>
      </c>
      <c r="H20" s="56">
        <v>64278</v>
      </c>
      <c r="M20" s="56">
        <v>64278</v>
      </c>
      <c r="N20" s="48">
        <v>45716</v>
      </c>
      <c r="P20" s="62"/>
      <c r="Q20" s="62"/>
      <c r="R20" s="62" t="s">
        <v>50</v>
      </c>
    </row>
    <row r="21" spans="1:18" x14ac:dyDescent="0.2">
      <c r="C21" s="15" t="s">
        <v>60</v>
      </c>
      <c r="D21" s="15" t="s">
        <v>61</v>
      </c>
      <c r="E21" s="48">
        <v>45747</v>
      </c>
      <c r="G21" s="49">
        <v>300000</v>
      </c>
      <c r="H21" s="49">
        <v>64278</v>
      </c>
      <c r="M21" s="49">
        <v>64278</v>
      </c>
      <c r="N21" s="48">
        <v>45747</v>
      </c>
      <c r="R21" s="51" t="s">
        <v>51</v>
      </c>
    </row>
    <row r="22" spans="1:18" x14ac:dyDescent="0.2">
      <c r="C22" s="15" t="s">
        <v>62</v>
      </c>
      <c r="D22" s="15" t="s">
        <v>63</v>
      </c>
      <c r="E22" s="48">
        <v>45688</v>
      </c>
      <c r="G22" s="49">
        <v>275000</v>
      </c>
      <c r="H22" s="49">
        <v>56478</v>
      </c>
      <c r="M22" s="49">
        <v>56478</v>
      </c>
      <c r="N22" s="48">
        <v>45688</v>
      </c>
      <c r="R22" s="51" t="s">
        <v>49</v>
      </c>
    </row>
    <row r="23" spans="1:18" x14ac:dyDescent="0.2">
      <c r="C23" s="15" t="s">
        <v>62</v>
      </c>
      <c r="D23" s="15" t="s">
        <v>63</v>
      </c>
      <c r="E23" s="48">
        <v>45716</v>
      </c>
      <c r="G23" s="49">
        <v>275000</v>
      </c>
      <c r="H23" s="49">
        <v>56478</v>
      </c>
      <c r="M23" s="49">
        <v>56478</v>
      </c>
      <c r="N23" s="48">
        <v>45716</v>
      </c>
      <c r="R23" s="51" t="s">
        <v>50</v>
      </c>
    </row>
    <row r="24" spans="1:18" x14ac:dyDescent="0.2">
      <c r="C24" s="15" t="s">
        <v>62</v>
      </c>
      <c r="D24" s="15" t="s">
        <v>63</v>
      </c>
      <c r="E24" s="48">
        <v>45747</v>
      </c>
      <c r="G24" s="49">
        <v>275000</v>
      </c>
      <c r="H24" s="49">
        <v>56478</v>
      </c>
      <c r="M24" s="49">
        <v>56478</v>
      </c>
      <c r="N24" s="48">
        <v>45747</v>
      </c>
      <c r="R24" s="51" t="s">
        <v>51</v>
      </c>
    </row>
    <row r="25" spans="1:18" x14ac:dyDescent="0.2">
      <c r="C25" s="15" t="s">
        <v>64</v>
      </c>
      <c r="D25" s="15" t="s">
        <v>65</v>
      </c>
      <c r="E25" s="48">
        <v>45688</v>
      </c>
      <c r="G25" s="49">
        <v>250000</v>
      </c>
      <c r="H25" s="49">
        <v>48678</v>
      </c>
      <c r="M25" s="49">
        <v>48678</v>
      </c>
      <c r="N25" s="48">
        <v>45688</v>
      </c>
      <c r="R25" s="51" t="s">
        <v>49</v>
      </c>
    </row>
    <row r="26" spans="1:18" x14ac:dyDescent="0.2">
      <c r="C26" s="15" t="s">
        <v>64</v>
      </c>
      <c r="D26" s="15" t="s">
        <v>65</v>
      </c>
      <c r="E26" s="48">
        <v>45716</v>
      </c>
      <c r="G26" s="49">
        <v>250000</v>
      </c>
      <c r="H26" s="49">
        <v>48678</v>
      </c>
      <c r="M26" s="49">
        <v>48678</v>
      </c>
      <c r="N26" s="48">
        <v>45716</v>
      </c>
      <c r="R26" s="51" t="s">
        <v>50</v>
      </c>
    </row>
    <row r="27" spans="1:18" x14ac:dyDescent="0.2">
      <c r="C27" s="15" t="s">
        <v>64</v>
      </c>
      <c r="D27" s="15" t="s">
        <v>65</v>
      </c>
      <c r="E27" s="48">
        <v>45747</v>
      </c>
      <c r="G27" s="49">
        <v>250000</v>
      </c>
      <c r="H27" s="49">
        <v>48678</v>
      </c>
      <c r="M27" s="49">
        <v>48678</v>
      </c>
      <c r="N27" s="48">
        <v>45747</v>
      </c>
      <c r="R27" s="51" t="s">
        <v>51</v>
      </c>
    </row>
    <row r="28" spans="1:18" x14ac:dyDescent="0.2">
      <c r="C28" s="15" t="s">
        <v>66</v>
      </c>
      <c r="D28" s="15" t="s">
        <v>67</v>
      </c>
      <c r="E28" s="48">
        <v>45688</v>
      </c>
      <c r="G28" s="49">
        <v>140000</v>
      </c>
      <c r="H28" s="49">
        <v>23887</v>
      </c>
      <c r="M28" s="49">
        <v>23887</v>
      </c>
      <c r="N28" s="48">
        <v>45688</v>
      </c>
      <c r="R28" s="51" t="s">
        <v>49</v>
      </c>
    </row>
    <row r="29" spans="1:18" x14ac:dyDescent="0.2">
      <c r="C29" s="15" t="s">
        <v>66</v>
      </c>
      <c r="D29" s="15" t="s">
        <v>67</v>
      </c>
      <c r="E29" s="48">
        <v>45716</v>
      </c>
      <c r="G29" s="49">
        <v>140000</v>
      </c>
      <c r="H29" s="49">
        <v>23887</v>
      </c>
      <c r="M29" s="49">
        <v>23887</v>
      </c>
      <c r="N29" s="48">
        <v>45716</v>
      </c>
      <c r="R29" s="51" t="s">
        <v>50</v>
      </c>
    </row>
    <row r="30" spans="1:18" x14ac:dyDescent="0.2">
      <c r="C30" s="15" t="s">
        <v>66</v>
      </c>
      <c r="D30" s="15" t="s">
        <v>67</v>
      </c>
      <c r="E30" s="48">
        <v>45747</v>
      </c>
      <c r="G30" s="49">
        <f>140000+104669</f>
        <v>244669</v>
      </c>
      <c r="H30" s="49">
        <v>23887</v>
      </c>
      <c r="M30" s="49">
        <v>23887</v>
      </c>
      <c r="N30" s="48">
        <v>45747</v>
      </c>
      <c r="R30" s="51" t="s">
        <v>51</v>
      </c>
    </row>
    <row r="31" spans="1:18" x14ac:dyDescent="0.2">
      <c r="C31" s="15" t="s">
        <v>68</v>
      </c>
      <c r="D31" s="15" t="s">
        <v>69</v>
      </c>
      <c r="E31" s="48">
        <v>45688</v>
      </c>
      <c r="G31" s="49">
        <v>125000</v>
      </c>
      <c r="H31" s="49">
        <v>10400</v>
      </c>
      <c r="M31" s="49">
        <v>10400</v>
      </c>
      <c r="N31" s="48">
        <v>45688</v>
      </c>
      <c r="R31" s="51" t="s">
        <v>49</v>
      </c>
    </row>
    <row r="32" spans="1:18" x14ac:dyDescent="0.2">
      <c r="C32" s="15" t="s">
        <v>68</v>
      </c>
      <c r="D32" s="15" t="s">
        <v>69</v>
      </c>
      <c r="E32" s="48">
        <v>45716</v>
      </c>
      <c r="G32" s="49">
        <v>125000</v>
      </c>
      <c r="H32" s="49">
        <v>10400</v>
      </c>
      <c r="M32" s="49">
        <v>10400</v>
      </c>
      <c r="N32" s="48">
        <v>45716</v>
      </c>
      <c r="R32" s="51" t="s">
        <v>50</v>
      </c>
    </row>
    <row r="33" spans="3:18" x14ac:dyDescent="0.2">
      <c r="C33" s="15" t="s">
        <v>68</v>
      </c>
      <c r="D33" s="15" t="s">
        <v>69</v>
      </c>
      <c r="E33" s="48">
        <v>45747</v>
      </c>
      <c r="G33" s="49">
        <v>125000</v>
      </c>
      <c r="H33" s="49">
        <v>10400</v>
      </c>
      <c r="M33" s="49">
        <v>10400</v>
      </c>
      <c r="N33" s="48">
        <v>45747</v>
      </c>
      <c r="R33" s="51" t="s">
        <v>51</v>
      </c>
    </row>
    <row r="34" spans="3:18" x14ac:dyDescent="0.2">
      <c r="C34" s="15" t="s">
        <v>70</v>
      </c>
      <c r="D34" s="15" t="s">
        <v>71</v>
      </c>
      <c r="E34" s="48">
        <v>45688</v>
      </c>
      <c r="G34" s="49">
        <v>100000</v>
      </c>
      <c r="H34" s="49">
        <v>9623</v>
      </c>
      <c r="M34" s="49">
        <v>9623</v>
      </c>
      <c r="N34" s="48">
        <v>45688</v>
      </c>
      <c r="R34" s="51" t="s">
        <v>49</v>
      </c>
    </row>
    <row r="35" spans="3:18" x14ac:dyDescent="0.2">
      <c r="C35" s="15" t="s">
        <v>70</v>
      </c>
      <c r="D35" s="15" t="s">
        <v>71</v>
      </c>
      <c r="E35" s="48">
        <v>45716</v>
      </c>
      <c r="G35" s="49">
        <v>100000</v>
      </c>
      <c r="H35" s="49">
        <v>9623</v>
      </c>
      <c r="M35" s="49">
        <v>9623</v>
      </c>
      <c r="N35" s="48">
        <v>45716</v>
      </c>
      <c r="R35" s="51" t="s">
        <v>50</v>
      </c>
    </row>
    <row r="36" spans="3:18" x14ac:dyDescent="0.2">
      <c r="C36" s="15" t="s">
        <v>70</v>
      </c>
      <c r="D36" s="15" t="s">
        <v>71</v>
      </c>
      <c r="E36" s="48">
        <v>45747</v>
      </c>
      <c r="G36" s="49">
        <v>100000</v>
      </c>
      <c r="H36" s="49">
        <v>9623</v>
      </c>
      <c r="M36" s="49">
        <v>9623</v>
      </c>
      <c r="N36" s="48">
        <v>45747</v>
      </c>
      <c r="R36" s="51" t="s">
        <v>51</v>
      </c>
    </row>
    <row r="37" spans="3:18" x14ac:dyDescent="0.2">
      <c r="C37" s="15" t="s">
        <v>72</v>
      </c>
      <c r="D37" s="15" t="s">
        <v>73</v>
      </c>
      <c r="E37" s="48">
        <v>45688</v>
      </c>
      <c r="G37" s="49">
        <v>150000</v>
      </c>
      <c r="H37" s="49">
        <v>17478</v>
      </c>
      <c r="M37" s="49">
        <v>17478</v>
      </c>
      <c r="N37" s="48">
        <v>45688</v>
      </c>
      <c r="R37" s="51" t="s">
        <v>49</v>
      </c>
    </row>
    <row r="38" spans="3:18" x14ac:dyDescent="0.2">
      <c r="C38" s="15" t="s">
        <v>72</v>
      </c>
      <c r="D38" s="15" t="s">
        <v>73</v>
      </c>
      <c r="E38" s="48">
        <v>45716</v>
      </c>
      <c r="G38" s="49">
        <v>150000</v>
      </c>
      <c r="H38" s="49">
        <v>17478</v>
      </c>
      <c r="M38" s="49">
        <v>17478</v>
      </c>
      <c r="N38" s="48">
        <v>45716</v>
      </c>
      <c r="R38" s="51" t="s">
        <v>50</v>
      </c>
    </row>
    <row r="39" spans="3:18" x14ac:dyDescent="0.2">
      <c r="C39" s="15" t="s">
        <v>72</v>
      </c>
      <c r="D39" s="15" t="s">
        <v>73</v>
      </c>
      <c r="E39" s="48">
        <v>45747</v>
      </c>
      <c r="G39" s="49">
        <v>150000</v>
      </c>
      <c r="H39" s="49">
        <v>17478</v>
      </c>
      <c r="M39" s="49">
        <v>17478</v>
      </c>
      <c r="N39" s="48">
        <v>45747</v>
      </c>
      <c r="R39" s="51" t="s">
        <v>51</v>
      </c>
    </row>
    <row r="40" spans="3:18" x14ac:dyDescent="0.2">
      <c r="C40" s="15" t="s">
        <v>74</v>
      </c>
      <c r="D40" s="15" t="s">
        <v>75</v>
      </c>
      <c r="E40" s="48">
        <v>45688</v>
      </c>
      <c r="G40" s="49">
        <v>115000</v>
      </c>
      <c r="H40" s="49">
        <v>8320</v>
      </c>
      <c r="M40" s="49">
        <v>8320</v>
      </c>
      <c r="N40" s="48">
        <v>45688</v>
      </c>
      <c r="R40" s="51" t="s">
        <v>49</v>
      </c>
    </row>
    <row r="41" spans="3:18" x14ac:dyDescent="0.2">
      <c r="C41" s="15" t="s">
        <v>74</v>
      </c>
      <c r="D41" s="15" t="s">
        <v>75</v>
      </c>
      <c r="E41" s="48">
        <v>45716</v>
      </c>
      <c r="G41" s="49">
        <v>115000</v>
      </c>
      <c r="H41" s="49">
        <v>8320</v>
      </c>
      <c r="M41" s="49">
        <v>8320</v>
      </c>
      <c r="N41" s="48">
        <v>45716</v>
      </c>
      <c r="R41" s="51" t="s">
        <v>50</v>
      </c>
    </row>
    <row r="42" spans="3:18" x14ac:dyDescent="0.2">
      <c r="C42" s="15" t="s">
        <v>74</v>
      </c>
      <c r="D42" s="15" t="s">
        <v>75</v>
      </c>
      <c r="E42" s="48">
        <v>45747</v>
      </c>
      <c r="G42" s="49">
        <v>115000</v>
      </c>
      <c r="H42" s="49">
        <v>8320</v>
      </c>
      <c r="M42" s="49">
        <v>8320</v>
      </c>
      <c r="N42" s="48">
        <v>45747</v>
      </c>
      <c r="R42" s="51" t="s">
        <v>51</v>
      </c>
    </row>
    <row r="43" spans="3:18" x14ac:dyDescent="0.2">
      <c r="C43" s="15" t="s">
        <v>76</v>
      </c>
      <c r="D43" s="15" t="s">
        <v>77</v>
      </c>
      <c r="E43" s="48">
        <v>45688</v>
      </c>
      <c r="G43" s="49">
        <v>80000</v>
      </c>
      <c r="H43" s="49">
        <v>3106</v>
      </c>
      <c r="M43" s="49">
        <v>3106</v>
      </c>
      <c r="N43" s="48">
        <v>45688</v>
      </c>
      <c r="R43" s="51" t="s">
        <v>49</v>
      </c>
    </row>
    <row r="44" spans="3:18" x14ac:dyDescent="0.2">
      <c r="C44" s="15" t="s">
        <v>76</v>
      </c>
      <c r="D44" s="15" t="s">
        <v>77</v>
      </c>
      <c r="E44" s="48">
        <v>45716</v>
      </c>
      <c r="G44" s="49">
        <v>80000</v>
      </c>
      <c r="H44" s="49">
        <v>3106</v>
      </c>
      <c r="M44" s="49">
        <v>3106</v>
      </c>
      <c r="N44" s="48">
        <v>45716</v>
      </c>
      <c r="R44" s="51" t="s">
        <v>50</v>
      </c>
    </row>
    <row r="45" spans="3:18" x14ac:dyDescent="0.2">
      <c r="C45" s="15" t="s">
        <v>76</v>
      </c>
      <c r="D45" s="15" t="s">
        <v>77</v>
      </c>
      <c r="E45" s="48">
        <v>45747</v>
      </c>
      <c r="G45" s="49">
        <v>80000</v>
      </c>
      <c r="H45" s="49">
        <v>3106</v>
      </c>
      <c r="M45" s="49">
        <v>3106</v>
      </c>
      <c r="N45" s="48">
        <v>45747</v>
      </c>
      <c r="R45" s="51" t="s">
        <v>51</v>
      </c>
    </row>
    <row r="46" spans="3:18" x14ac:dyDescent="0.2">
      <c r="C46" s="15" t="s">
        <v>78</v>
      </c>
      <c r="D46" s="15" t="s">
        <v>79</v>
      </c>
      <c r="E46" s="48">
        <v>45688</v>
      </c>
      <c r="G46" s="49">
        <v>99453</v>
      </c>
      <c r="H46" s="49">
        <v>5220</v>
      </c>
      <c r="M46" s="49">
        <v>5220</v>
      </c>
      <c r="N46" s="48">
        <v>45688</v>
      </c>
      <c r="R46" s="51" t="s">
        <v>49</v>
      </c>
    </row>
    <row r="47" spans="3:18" x14ac:dyDescent="0.2">
      <c r="C47" s="15" t="s">
        <v>78</v>
      </c>
      <c r="D47" s="15" t="s">
        <v>79</v>
      </c>
      <c r="E47" s="48">
        <v>45716</v>
      </c>
      <c r="G47" s="49">
        <v>99453</v>
      </c>
      <c r="H47" s="49">
        <v>5220</v>
      </c>
      <c r="M47" s="49">
        <v>5220</v>
      </c>
      <c r="N47" s="48">
        <v>45716</v>
      </c>
      <c r="R47" s="51" t="s">
        <v>50</v>
      </c>
    </row>
    <row r="48" spans="3:18" x14ac:dyDescent="0.2">
      <c r="C48" s="15" t="s">
        <v>78</v>
      </c>
      <c r="D48" s="15" t="s">
        <v>79</v>
      </c>
      <c r="E48" s="48">
        <v>45747</v>
      </c>
      <c r="G48" s="49">
        <v>99453</v>
      </c>
      <c r="H48" s="49">
        <v>5220</v>
      </c>
      <c r="M48" s="49">
        <v>5220</v>
      </c>
      <c r="N48" s="48">
        <v>45747</v>
      </c>
      <c r="R48" s="51" t="s">
        <v>51</v>
      </c>
    </row>
    <row r="49" spans="3:18" x14ac:dyDescent="0.2">
      <c r="C49" s="15" t="s">
        <v>80</v>
      </c>
      <c r="D49" s="15" t="s">
        <v>81</v>
      </c>
      <c r="E49" s="48">
        <v>45688</v>
      </c>
      <c r="G49" s="49">
        <v>95000</v>
      </c>
      <c r="H49" s="49">
        <v>4782</v>
      </c>
      <c r="M49" s="49">
        <v>4782</v>
      </c>
      <c r="N49" s="48">
        <v>45688</v>
      </c>
      <c r="R49" s="51" t="s">
        <v>49</v>
      </c>
    </row>
    <row r="50" spans="3:18" x14ac:dyDescent="0.2">
      <c r="C50" s="15" t="s">
        <v>80</v>
      </c>
      <c r="D50" s="15" t="s">
        <v>81</v>
      </c>
      <c r="E50" s="48">
        <v>45716</v>
      </c>
      <c r="G50" s="49">
        <v>95000</v>
      </c>
      <c r="H50" s="49">
        <v>4782</v>
      </c>
      <c r="M50" s="49">
        <v>4782</v>
      </c>
      <c r="N50" s="48">
        <v>45716</v>
      </c>
      <c r="R50" s="51" t="s">
        <v>50</v>
      </c>
    </row>
    <row r="51" spans="3:18" x14ac:dyDescent="0.2">
      <c r="C51" s="15" t="s">
        <v>80</v>
      </c>
      <c r="D51" s="15" t="s">
        <v>81</v>
      </c>
      <c r="E51" s="48">
        <v>45747</v>
      </c>
      <c r="G51" s="49">
        <v>95000</v>
      </c>
      <c r="H51" s="49">
        <v>4782</v>
      </c>
      <c r="M51" s="49">
        <v>4782</v>
      </c>
      <c r="N51" s="48">
        <v>45747</v>
      </c>
      <c r="R51" s="51" t="s">
        <v>51</v>
      </c>
    </row>
    <row r="52" spans="3:18" x14ac:dyDescent="0.2">
      <c r="C52" s="15" t="s">
        <v>82</v>
      </c>
      <c r="D52" s="15" t="s">
        <v>83</v>
      </c>
      <c r="E52" s="48">
        <v>45688</v>
      </c>
      <c r="G52" s="49">
        <v>130000</v>
      </c>
      <c r="H52" s="49">
        <v>9150</v>
      </c>
      <c r="M52" s="49">
        <v>9150</v>
      </c>
      <c r="N52" s="48">
        <v>45688</v>
      </c>
      <c r="R52" s="51" t="s">
        <v>49</v>
      </c>
    </row>
    <row r="53" spans="3:18" x14ac:dyDescent="0.2">
      <c r="C53" s="15" t="s">
        <v>82</v>
      </c>
      <c r="D53" s="15" t="s">
        <v>83</v>
      </c>
      <c r="E53" s="48">
        <v>45716</v>
      </c>
      <c r="G53" s="49">
        <v>130000</v>
      </c>
      <c r="H53" s="49">
        <v>9150</v>
      </c>
      <c r="M53" s="49">
        <v>9150</v>
      </c>
      <c r="N53" s="48">
        <v>45716</v>
      </c>
      <c r="R53" s="51" t="s">
        <v>50</v>
      </c>
    </row>
    <row r="54" spans="3:18" x14ac:dyDescent="0.2">
      <c r="C54" s="15" t="s">
        <v>82</v>
      </c>
      <c r="D54" s="15" t="s">
        <v>83</v>
      </c>
      <c r="E54" s="48">
        <v>45747</v>
      </c>
      <c r="G54" s="49">
        <v>130000</v>
      </c>
      <c r="H54" s="49">
        <v>9150</v>
      </c>
      <c r="M54" s="49">
        <v>9150</v>
      </c>
      <c r="N54" s="48">
        <v>45747</v>
      </c>
      <c r="R54" s="51" t="s">
        <v>51</v>
      </c>
    </row>
    <row r="55" spans="3:18" x14ac:dyDescent="0.2">
      <c r="C55" s="15" t="s">
        <v>84</v>
      </c>
      <c r="D55" s="15" t="s">
        <v>85</v>
      </c>
      <c r="E55" s="48">
        <v>45688</v>
      </c>
      <c r="G55" s="49">
        <v>100000</v>
      </c>
      <c r="H55" s="49">
        <v>5128</v>
      </c>
      <c r="M55" s="49">
        <v>5128</v>
      </c>
      <c r="N55" s="48">
        <v>45688</v>
      </c>
      <c r="R55" s="51" t="s">
        <v>49</v>
      </c>
    </row>
    <row r="56" spans="3:18" x14ac:dyDescent="0.2">
      <c r="C56" s="15" t="s">
        <v>84</v>
      </c>
      <c r="D56" s="15" t="s">
        <v>85</v>
      </c>
      <c r="E56" s="48">
        <v>45716</v>
      </c>
      <c r="G56" s="49">
        <v>100000</v>
      </c>
      <c r="H56" s="49">
        <v>5128</v>
      </c>
      <c r="M56" s="49">
        <v>5128</v>
      </c>
      <c r="N56" s="48">
        <v>45716</v>
      </c>
      <c r="R56" s="51" t="s">
        <v>50</v>
      </c>
    </row>
    <row r="57" spans="3:18" x14ac:dyDescent="0.2">
      <c r="C57" s="15" t="s">
        <v>84</v>
      </c>
      <c r="D57" s="15" t="s">
        <v>85</v>
      </c>
      <c r="E57" s="48">
        <v>45747</v>
      </c>
      <c r="G57" s="49">
        <v>100000</v>
      </c>
      <c r="H57" s="49">
        <v>5128</v>
      </c>
      <c r="M57" s="49">
        <v>5128</v>
      </c>
      <c r="N57" s="48">
        <v>45747</v>
      </c>
      <c r="R57" s="51" t="s">
        <v>51</v>
      </c>
    </row>
    <row r="58" spans="3:18" x14ac:dyDescent="0.2">
      <c r="C58" s="15" t="s">
        <v>86</v>
      </c>
      <c r="D58" s="15" t="s">
        <v>87</v>
      </c>
      <c r="E58" s="48">
        <v>45688</v>
      </c>
      <c r="G58" s="49">
        <v>150000</v>
      </c>
      <c r="H58" s="49">
        <v>42985</v>
      </c>
      <c r="M58" s="49">
        <v>42985</v>
      </c>
      <c r="N58" s="48">
        <v>45688</v>
      </c>
      <c r="R58" s="51" t="s">
        <v>49</v>
      </c>
    </row>
    <row r="59" spans="3:18" x14ac:dyDescent="0.2">
      <c r="C59" s="15" t="s">
        <v>86</v>
      </c>
      <c r="D59" s="15" t="s">
        <v>87</v>
      </c>
      <c r="E59" s="48">
        <v>45716</v>
      </c>
      <c r="G59" s="49">
        <v>150000</v>
      </c>
      <c r="H59" s="49">
        <v>42985</v>
      </c>
      <c r="M59" s="49">
        <v>42985</v>
      </c>
      <c r="N59" s="48">
        <v>45716</v>
      </c>
      <c r="R59" s="51" t="s">
        <v>50</v>
      </c>
    </row>
    <row r="60" spans="3:18" x14ac:dyDescent="0.2">
      <c r="C60" s="15" t="s">
        <v>86</v>
      </c>
      <c r="D60" s="15" t="s">
        <v>87</v>
      </c>
      <c r="E60" s="48">
        <v>45747</v>
      </c>
      <c r="G60" s="49">
        <v>150000</v>
      </c>
      <c r="H60" s="49">
        <v>42985</v>
      </c>
      <c r="M60" s="49">
        <v>42985</v>
      </c>
      <c r="N60" s="48">
        <v>45747</v>
      </c>
      <c r="R60" s="51" t="s">
        <v>51</v>
      </c>
    </row>
    <row r="61" spans="3:18" x14ac:dyDescent="0.2">
      <c r="C61" s="15" t="s">
        <v>88</v>
      </c>
      <c r="D61" s="15" t="s">
        <v>89</v>
      </c>
      <c r="E61" s="48">
        <v>45688</v>
      </c>
      <c r="G61" s="49">
        <v>75000</v>
      </c>
      <c r="H61" s="49">
        <v>2600</v>
      </c>
      <c r="M61" s="49">
        <v>2600</v>
      </c>
      <c r="N61" s="48">
        <v>45688</v>
      </c>
      <c r="R61" s="51" t="s">
        <v>49</v>
      </c>
    </row>
    <row r="62" spans="3:18" x14ac:dyDescent="0.2">
      <c r="C62" s="15" t="s">
        <v>88</v>
      </c>
      <c r="D62" s="15" t="s">
        <v>89</v>
      </c>
      <c r="E62" s="48">
        <v>45716</v>
      </c>
      <c r="G62" s="49">
        <v>75000</v>
      </c>
      <c r="H62" s="49">
        <v>2600</v>
      </c>
      <c r="M62" s="49">
        <v>2600</v>
      </c>
      <c r="N62" s="48">
        <v>45716</v>
      </c>
      <c r="R62" s="51" t="s">
        <v>50</v>
      </c>
    </row>
    <row r="63" spans="3:18" x14ac:dyDescent="0.2">
      <c r="C63" s="15" t="s">
        <v>88</v>
      </c>
      <c r="D63" s="15" t="s">
        <v>89</v>
      </c>
      <c r="E63" s="48">
        <v>45747</v>
      </c>
      <c r="G63" s="49">
        <v>75000</v>
      </c>
      <c r="H63" s="49">
        <v>2600</v>
      </c>
      <c r="M63" s="49">
        <v>2600</v>
      </c>
      <c r="N63" s="48">
        <v>45747</v>
      </c>
      <c r="R63" s="51" t="s">
        <v>51</v>
      </c>
    </row>
    <row r="64" spans="3:18" x14ac:dyDescent="0.2">
      <c r="C64" s="15" t="s">
        <v>90</v>
      </c>
      <c r="D64" s="15" t="s">
        <v>91</v>
      </c>
      <c r="E64" s="48">
        <v>45688</v>
      </c>
      <c r="G64" s="49">
        <v>67500</v>
      </c>
      <c r="H64" s="49">
        <v>0</v>
      </c>
      <c r="M64" s="49">
        <v>0</v>
      </c>
      <c r="N64" s="48">
        <v>45688</v>
      </c>
      <c r="R64" s="51" t="s">
        <v>49</v>
      </c>
    </row>
    <row r="65" spans="3:18" x14ac:dyDescent="0.2">
      <c r="C65" s="15" t="s">
        <v>90</v>
      </c>
      <c r="D65" s="15" t="s">
        <v>91</v>
      </c>
      <c r="E65" s="48">
        <v>45716</v>
      </c>
      <c r="G65" s="49">
        <v>67500</v>
      </c>
      <c r="H65" s="49">
        <v>0</v>
      </c>
      <c r="M65" s="49">
        <v>0</v>
      </c>
      <c r="N65" s="48">
        <v>45716</v>
      </c>
      <c r="R65" s="51" t="s">
        <v>50</v>
      </c>
    </row>
    <row r="66" spans="3:18" x14ac:dyDescent="0.2">
      <c r="C66" s="15" t="s">
        <v>90</v>
      </c>
      <c r="D66" s="15" t="s">
        <v>91</v>
      </c>
      <c r="E66" s="48">
        <v>45747</v>
      </c>
      <c r="G66" s="49">
        <v>67500</v>
      </c>
      <c r="H66" s="49">
        <v>0</v>
      </c>
      <c r="M66" s="49">
        <v>0</v>
      </c>
      <c r="N66" s="48">
        <v>45747</v>
      </c>
      <c r="R66" s="51" t="s">
        <v>51</v>
      </c>
    </row>
    <row r="67" spans="3:18" x14ac:dyDescent="0.2">
      <c r="C67" s="15" t="s">
        <v>92</v>
      </c>
      <c r="D67" s="15" t="s">
        <v>93</v>
      </c>
      <c r="E67" s="48">
        <v>45688</v>
      </c>
      <c r="G67" s="49">
        <v>84772</v>
      </c>
      <c r="H67" s="49">
        <v>3444</v>
      </c>
      <c r="M67" s="49">
        <v>3444</v>
      </c>
      <c r="N67" s="48">
        <v>45688</v>
      </c>
      <c r="R67" s="51" t="s">
        <v>49</v>
      </c>
    </row>
    <row r="68" spans="3:18" x14ac:dyDescent="0.2">
      <c r="C68" s="15" t="s">
        <v>92</v>
      </c>
      <c r="D68" s="15" t="s">
        <v>93</v>
      </c>
      <c r="E68" s="48">
        <v>45716</v>
      </c>
      <c r="G68" s="49">
        <v>84772</v>
      </c>
      <c r="H68" s="49">
        <v>3444</v>
      </c>
      <c r="M68" s="49">
        <v>3444</v>
      </c>
      <c r="N68" s="48">
        <v>45716</v>
      </c>
      <c r="R68" s="51" t="s">
        <v>50</v>
      </c>
    </row>
    <row r="69" spans="3:18" x14ac:dyDescent="0.2">
      <c r="C69" s="15" t="s">
        <v>92</v>
      </c>
      <c r="D69" s="15" t="s">
        <v>93</v>
      </c>
      <c r="E69" s="48">
        <v>45747</v>
      </c>
      <c r="G69" s="49">
        <v>84772</v>
      </c>
      <c r="H69" s="49">
        <v>3444</v>
      </c>
      <c r="M69" s="49">
        <v>3444</v>
      </c>
      <c r="N69" s="48">
        <v>45747</v>
      </c>
      <c r="R69" s="51" t="s">
        <v>51</v>
      </c>
    </row>
    <row r="70" spans="3:18" x14ac:dyDescent="0.2">
      <c r="C70" s="15" t="s">
        <v>94</v>
      </c>
      <c r="D70" s="15" t="s">
        <v>95</v>
      </c>
      <c r="E70" s="48">
        <v>45688</v>
      </c>
      <c r="G70" s="49">
        <v>100000</v>
      </c>
      <c r="H70" s="49">
        <v>0</v>
      </c>
      <c r="M70" s="49">
        <v>0</v>
      </c>
      <c r="N70" s="48">
        <v>45688</v>
      </c>
      <c r="R70" s="51" t="s">
        <v>49</v>
      </c>
    </row>
    <row r="71" spans="3:18" x14ac:dyDescent="0.2">
      <c r="C71" s="15" t="s">
        <v>94</v>
      </c>
      <c r="D71" s="15" t="s">
        <v>95</v>
      </c>
      <c r="E71" s="48">
        <v>45716</v>
      </c>
      <c r="G71" s="49">
        <v>100000</v>
      </c>
      <c r="H71" s="49">
        <v>0</v>
      </c>
      <c r="M71" s="49">
        <v>0</v>
      </c>
      <c r="N71" s="48">
        <v>45716</v>
      </c>
      <c r="R71" s="51" t="s">
        <v>50</v>
      </c>
    </row>
    <row r="72" spans="3:18" x14ac:dyDescent="0.2">
      <c r="C72" s="15" t="s">
        <v>94</v>
      </c>
      <c r="D72" s="15" t="s">
        <v>95</v>
      </c>
      <c r="E72" s="48">
        <v>45747</v>
      </c>
      <c r="G72" s="49">
        <v>100000</v>
      </c>
      <c r="H72" s="49">
        <v>0</v>
      </c>
    </row>
    <row r="73" spans="3:18" x14ac:dyDescent="0.2">
      <c r="C73" s="15" t="s">
        <v>96</v>
      </c>
      <c r="D73" s="15" t="s">
        <v>97</v>
      </c>
      <c r="E73" s="48">
        <v>45688</v>
      </c>
      <c r="G73" s="49">
        <v>58750</v>
      </c>
      <c r="H73" s="49">
        <v>784</v>
      </c>
      <c r="M73" s="49">
        <v>784</v>
      </c>
      <c r="N73" s="48">
        <v>45688</v>
      </c>
      <c r="R73" s="51" t="s">
        <v>49</v>
      </c>
    </row>
    <row r="74" spans="3:18" x14ac:dyDescent="0.2">
      <c r="C74" s="15" t="s">
        <v>96</v>
      </c>
      <c r="D74" s="15" t="s">
        <v>97</v>
      </c>
      <c r="E74" s="48">
        <v>45716</v>
      </c>
      <c r="G74" s="49">
        <v>58750</v>
      </c>
      <c r="H74" s="49">
        <v>784</v>
      </c>
      <c r="M74" s="49">
        <v>784</v>
      </c>
      <c r="N74" s="48">
        <v>45716</v>
      </c>
      <c r="R74" s="51" t="s">
        <v>49</v>
      </c>
    </row>
    <row r="75" spans="3:18" x14ac:dyDescent="0.2">
      <c r="C75" s="15" t="s">
        <v>96</v>
      </c>
      <c r="D75" s="15" t="s">
        <v>97</v>
      </c>
      <c r="E75" s="48">
        <v>45747</v>
      </c>
      <c r="G75" s="49">
        <f>58750+76559</f>
        <v>135309</v>
      </c>
      <c r="H75" s="49">
        <v>784</v>
      </c>
      <c r="M75" s="49">
        <v>784</v>
      </c>
      <c r="N75" s="48">
        <v>45747</v>
      </c>
      <c r="R75" s="51" t="s">
        <v>51</v>
      </c>
    </row>
    <row r="76" spans="3:18" x14ac:dyDescent="0.2">
      <c r="C76" s="15" t="s">
        <v>98</v>
      </c>
      <c r="D76" s="15" t="s">
        <v>99</v>
      </c>
      <c r="E76" s="48">
        <v>45688</v>
      </c>
      <c r="G76" s="49">
        <v>67500</v>
      </c>
      <c r="H76" s="49">
        <v>240</v>
      </c>
      <c r="M76" s="49">
        <v>240</v>
      </c>
      <c r="N76" s="48">
        <v>45688</v>
      </c>
      <c r="R76" s="51" t="s">
        <v>49</v>
      </c>
    </row>
    <row r="77" spans="3:18" x14ac:dyDescent="0.2">
      <c r="C77" s="15" t="s">
        <v>98</v>
      </c>
      <c r="D77" s="15" t="s">
        <v>99</v>
      </c>
      <c r="E77" s="48">
        <v>45716</v>
      </c>
      <c r="G77" s="49">
        <v>67500</v>
      </c>
      <c r="H77" s="49">
        <v>240</v>
      </c>
      <c r="M77" s="49">
        <v>240</v>
      </c>
      <c r="N77" s="48">
        <v>45716</v>
      </c>
      <c r="R77" s="51" t="s">
        <v>50</v>
      </c>
    </row>
    <row r="78" spans="3:18" x14ac:dyDescent="0.2">
      <c r="C78" s="15" t="s">
        <v>98</v>
      </c>
      <c r="D78" s="15" t="s">
        <v>99</v>
      </c>
      <c r="E78" s="48">
        <v>45747</v>
      </c>
      <c r="G78" s="49">
        <v>67500</v>
      </c>
      <c r="H78" s="49">
        <v>240</v>
      </c>
      <c r="M78" s="49">
        <v>240</v>
      </c>
      <c r="N78" s="48">
        <v>45747</v>
      </c>
      <c r="R78" s="51" t="s">
        <v>51</v>
      </c>
    </row>
    <row r="79" spans="3:18" x14ac:dyDescent="0.2">
      <c r="C79" s="15" t="s">
        <v>100</v>
      </c>
      <c r="D79" s="15" t="s">
        <v>101</v>
      </c>
      <c r="E79" s="48">
        <v>45688</v>
      </c>
      <c r="G79" s="49">
        <v>61570</v>
      </c>
      <c r="H79" s="49">
        <f>30330/3</f>
        <v>10110</v>
      </c>
      <c r="M79" s="49">
        <f>30330/3</f>
        <v>10110</v>
      </c>
      <c r="N79" s="48">
        <v>45688</v>
      </c>
      <c r="R79" s="51" t="s">
        <v>49</v>
      </c>
    </row>
    <row r="80" spans="3:18" x14ac:dyDescent="0.2">
      <c r="C80" s="15" t="s">
        <v>100</v>
      </c>
      <c r="D80" s="15" t="s">
        <v>101</v>
      </c>
      <c r="E80" s="48">
        <v>45716</v>
      </c>
      <c r="G80" s="49">
        <v>61570</v>
      </c>
      <c r="H80" s="49">
        <f>30330/3</f>
        <v>10110</v>
      </c>
      <c r="M80" s="49">
        <f>30330/3</f>
        <v>10110</v>
      </c>
      <c r="N80" s="48">
        <v>45716</v>
      </c>
      <c r="R80" s="51" t="s">
        <v>50</v>
      </c>
    </row>
    <row r="81" spans="3:18" x14ac:dyDescent="0.2">
      <c r="C81" s="15" t="s">
        <v>100</v>
      </c>
      <c r="D81" s="15" t="s">
        <v>101</v>
      </c>
      <c r="E81" s="48">
        <v>45747</v>
      </c>
      <c r="G81" s="49">
        <v>61570</v>
      </c>
      <c r="H81" s="49">
        <f>30330/3</f>
        <v>10110</v>
      </c>
      <c r="M81" s="49">
        <f>30330/3</f>
        <v>10110</v>
      </c>
      <c r="N81" s="48">
        <v>45747</v>
      </c>
      <c r="R81" s="51" t="s">
        <v>51</v>
      </c>
    </row>
    <row r="82" spans="3:18" x14ac:dyDescent="0.2">
      <c r="C82" s="15" t="s">
        <v>102</v>
      </c>
      <c r="D82" s="15" t="s">
        <v>103</v>
      </c>
      <c r="E82" s="48">
        <v>45716</v>
      </c>
      <c r="G82" s="49">
        <v>48848</v>
      </c>
      <c r="H82" s="49">
        <v>0</v>
      </c>
    </row>
    <row r="83" spans="3:18" x14ac:dyDescent="0.2">
      <c r="C83" s="15" t="s">
        <v>102</v>
      </c>
      <c r="D83" s="15" t="s">
        <v>103</v>
      </c>
      <c r="E83" s="48">
        <v>45716</v>
      </c>
      <c r="G83" s="49">
        <v>48848</v>
      </c>
      <c r="H83" s="49">
        <f>19360/2</f>
        <v>9680</v>
      </c>
      <c r="M83" s="49">
        <f>19360/2</f>
        <v>9680</v>
      </c>
      <c r="N83" s="48">
        <v>45716</v>
      </c>
      <c r="R83" s="51" t="s">
        <v>50</v>
      </c>
    </row>
    <row r="84" spans="3:18" x14ac:dyDescent="0.2">
      <c r="C84" s="15" t="s">
        <v>102</v>
      </c>
      <c r="D84" s="15" t="s">
        <v>103</v>
      </c>
      <c r="E84" s="48">
        <v>45747</v>
      </c>
      <c r="G84" s="49">
        <v>80000</v>
      </c>
      <c r="H84" s="49">
        <f>19360/2</f>
        <v>9680</v>
      </c>
      <c r="M84" s="49">
        <f>19360/2</f>
        <v>9680</v>
      </c>
      <c r="N84" s="48">
        <v>45747</v>
      </c>
      <c r="R84" s="51" t="s">
        <v>51</v>
      </c>
    </row>
    <row r="85" spans="3:18" x14ac:dyDescent="0.2">
      <c r="C85" s="15" t="s">
        <v>104</v>
      </c>
      <c r="D85" s="15" t="s">
        <v>105</v>
      </c>
      <c r="E85" s="48">
        <v>45688</v>
      </c>
      <c r="G85" s="49">
        <v>150000</v>
      </c>
      <c r="H85" s="49">
        <v>36407</v>
      </c>
      <c r="M85" s="49">
        <v>36407</v>
      </c>
      <c r="N85" s="48">
        <v>45688</v>
      </c>
      <c r="R85" s="51" t="s">
        <v>49</v>
      </c>
    </row>
    <row r="86" spans="3:18" x14ac:dyDescent="0.2">
      <c r="C86" s="15" t="s">
        <v>104</v>
      </c>
      <c r="D86" s="15" t="s">
        <v>105</v>
      </c>
      <c r="E86" s="48">
        <v>45716</v>
      </c>
      <c r="G86" s="49">
        <v>150000</v>
      </c>
      <c r="H86" s="49">
        <v>36407</v>
      </c>
      <c r="M86" s="49">
        <v>36407</v>
      </c>
      <c r="N86" s="48">
        <v>45716</v>
      </c>
      <c r="R86" s="51" t="s">
        <v>50</v>
      </c>
    </row>
    <row r="87" spans="3:18" x14ac:dyDescent="0.2">
      <c r="C87" s="15" t="s">
        <v>104</v>
      </c>
      <c r="D87" s="15" t="s">
        <v>105</v>
      </c>
      <c r="E87" s="48">
        <v>45747</v>
      </c>
      <c r="G87" s="49">
        <v>150000</v>
      </c>
      <c r="H87" s="49">
        <v>36407</v>
      </c>
      <c r="M87" s="49">
        <v>36407</v>
      </c>
      <c r="N87" s="48">
        <v>45747</v>
      </c>
      <c r="R87" s="51" t="s">
        <v>51</v>
      </c>
    </row>
    <row r="88" spans="3:18" x14ac:dyDescent="0.2">
      <c r="C88" s="15" t="s">
        <v>106</v>
      </c>
      <c r="D88" s="15" t="s">
        <v>107</v>
      </c>
      <c r="E88" s="48">
        <v>45688</v>
      </c>
      <c r="G88" s="49">
        <v>62500</v>
      </c>
      <c r="H88" s="49">
        <v>0</v>
      </c>
    </row>
    <row r="89" spans="3:18" x14ac:dyDescent="0.2">
      <c r="C89" s="15" t="s">
        <v>106</v>
      </c>
      <c r="D89" s="15" t="s">
        <v>107</v>
      </c>
      <c r="E89" s="48">
        <v>45716</v>
      </c>
      <c r="G89" s="49">
        <v>62500</v>
      </c>
      <c r="H89" s="49">
        <v>0</v>
      </c>
    </row>
    <row r="90" spans="3:18" x14ac:dyDescent="0.2">
      <c r="C90" s="15" t="s">
        <v>106</v>
      </c>
      <c r="D90" s="15" t="s">
        <v>107</v>
      </c>
      <c r="E90" s="48">
        <v>45747</v>
      </c>
      <c r="G90" s="49">
        <v>62500</v>
      </c>
      <c r="H90" s="49">
        <v>0</v>
      </c>
    </row>
    <row r="91" spans="3:18" x14ac:dyDescent="0.2">
      <c r="C91" s="15" t="s">
        <v>108</v>
      </c>
      <c r="D91" s="15" t="s">
        <v>109</v>
      </c>
      <c r="E91" s="48">
        <v>45688</v>
      </c>
      <c r="G91" s="49">
        <v>62500</v>
      </c>
      <c r="H91" s="49">
        <v>0</v>
      </c>
    </row>
    <row r="92" spans="3:18" x14ac:dyDescent="0.2">
      <c r="C92" s="15" t="s">
        <v>108</v>
      </c>
      <c r="D92" s="15" t="s">
        <v>109</v>
      </c>
      <c r="E92" s="48">
        <v>45716</v>
      </c>
      <c r="G92" s="49">
        <v>62500</v>
      </c>
      <c r="H92" s="49">
        <v>0</v>
      </c>
    </row>
    <row r="93" spans="3:18" x14ac:dyDescent="0.2">
      <c r="C93" s="15" t="s">
        <v>108</v>
      </c>
      <c r="D93" s="15" t="s">
        <v>109</v>
      </c>
      <c r="E93" s="48">
        <v>45747</v>
      </c>
      <c r="G93" s="49">
        <v>62500</v>
      </c>
      <c r="H93" s="49">
        <v>0</v>
      </c>
    </row>
    <row r="94" spans="3:18" x14ac:dyDescent="0.2">
      <c r="C94" s="15" t="s">
        <v>110</v>
      </c>
      <c r="D94" s="15" t="s">
        <v>111</v>
      </c>
      <c r="E94" s="48">
        <v>45688</v>
      </c>
      <c r="G94" s="49">
        <v>81500</v>
      </c>
      <c r="H94" s="49">
        <v>0</v>
      </c>
    </row>
    <row r="95" spans="3:18" x14ac:dyDescent="0.2">
      <c r="C95" s="15" t="s">
        <v>110</v>
      </c>
      <c r="D95" s="15" t="s">
        <v>111</v>
      </c>
      <c r="E95" s="48">
        <v>45716</v>
      </c>
      <c r="G95" s="49">
        <v>81500</v>
      </c>
      <c r="H95" s="49">
        <v>0</v>
      </c>
    </row>
    <row r="96" spans="3:18" x14ac:dyDescent="0.2">
      <c r="C96" s="15" t="s">
        <v>110</v>
      </c>
      <c r="D96" s="15" t="s">
        <v>111</v>
      </c>
      <c r="E96" s="48">
        <v>45747</v>
      </c>
      <c r="G96" s="49">
        <v>81500</v>
      </c>
      <c r="H96" s="49">
        <v>0</v>
      </c>
    </row>
    <row r="97" spans="3:8" x14ac:dyDescent="0.2">
      <c r="C97" s="15" t="s">
        <v>112</v>
      </c>
      <c r="D97" s="15" t="s">
        <v>113</v>
      </c>
      <c r="E97" s="48">
        <v>45688</v>
      </c>
      <c r="G97" s="49">
        <v>62500</v>
      </c>
      <c r="H97" s="49">
        <v>0</v>
      </c>
    </row>
    <row r="98" spans="3:8" x14ac:dyDescent="0.2">
      <c r="C98" s="15" t="s">
        <v>112</v>
      </c>
      <c r="D98" s="15" t="s">
        <v>113</v>
      </c>
      <c r="E98" s="48">
        <v>45716</v>
      </c>
      <c r="G98" s="49">
        <v>62500</v>
      </c>
      <c r="H98" s="49">
        <v>0</v>
      </c>
    </row>
    <row r="99" spans="3:8" x14ac:dyDescent="0.2">
      <c r="C99" s="15" t="s">
        <v>112</v>
      </c>
      <c r="D99" s="15" t="s">
        <v>113</v>
      </c>
      <c r="E99" s="48">
        <v>45747</v>
      </c>
      <c r="G99" s="49">
        <v>62500</v>
      </c>
      <c r="H99" s="49">
        <v>0</v>
      </c>
    </row>
    <row r="100" spans="3:8" x14ac:dyDescent="0.2">
      <c r="C100" s="15" t="s">
        <v>114</v>
      </c>
      <c r="D100" s="15" t="s">
        <v>115</v>
      </c>
      <c r="E100" s="48">
        <v>45688</v>
      </c>
      <c r="G100" s="49">
        <v>110000</v>
      </c>
      <c r="H100" s="49">
        <v>0</v>
      </c>
    </row>
    <row r="101" spans="3:8" x14ac:dyDescent="0.2">
      <c r="C101" s="15" t="s">
        <v>114</v>
      </c>
      <c r="D101" s="15" t="s">
        <v>115</v>
      </c>
      <c r="E101" s="48">
        <v>45716</v>
      </c>
      <c r="G101" s="49">
        <v>110000</v>
      </c>
      <c r="H101" s="49">
        <v>0</v>
      </c>
    </row>
    <row r="102" spans="3:8" x14ac:dyDescent="0.2">
      <c r="C102" s="15" t="s">
        <v>114</v>
      </c>
      <c r="D102" s="15" t="s">
        <v>115</v>
      </c>
      <c r="E102" s="48">
        <v>45747</v>
      </c>
      <c r="G102" s="49">
        <v>110000</v>
      </c>
      <c r="H102" s="49">
        <v>0</v>
      </c>
    </row>
    <row r="103" spans="3:8" x14ac:dyDescent="0.2">
      <c r="C103" s="15" t="s">
        <v>116</v>
      </c>
      <c r="D103" s="15" t="s">
        <v>117</v>
      </c>
      <c r="E103" s="48">
        <v>45688</v>
      </c>
      <c r="G103" s="49">
        <v>109000</v>
      </c>
      <c r="H103" s="49">
        <v>0</v>
      </c>
    </row>
    <row r="104" spans="3:8" x14ac:dyDescent="0.2">
      <c r="C104" s="15" t="s">
        <v>116</v>
      </c>
      <c r="D104" s="15" t="s">
        <v>117</v>
      </c>
      <c r="E104" s="48">
        <v>45716</v>
      </c>
      <c r="G104" s="49">
        <v>109000</v>
      </c>
      <c r="H104" s="49">
        <v>0</v>
      </c>
    </row>
    <row r="105" spans="3:8" x14ac:dyDescent="0.2">
      <c r="C105" s="15" t="s">
        <v>116</v>
      </c>
      <c r="D105" s="15" t="s">
        <v>117</v>
      </c>
      <c r="E105" s="48">
        <v>45747</v>
      </c>
      <c r="G105" s="49">
        <v>109000</v>
      </c>
      <c r="H105" s="49">
        <v>0</v>
      </c>
    </row>
    <row r="106" spans="3:8" x14ac:dyDescent="0.2">
      <c r="C106" s="15" t="s">
        <v>118</v>
      </c>
      <c r="D106" s="15" t="s">
        <v>119</v>
      </c>
      <c r="E106" s="48">
        <v>45688</v>
      </c>
      <c r="G106" s="49">
        <v>75000</v>
      </c>
      <c r="H106" s="49">
        <v>0</v>
      </c>
    </row>
    <row r="107" spans="3:8" x14ac:dyDescent="0.2">
      <c r="C107" s="15" t="s">
        <v>118</v>
      </c>
      <c r="D107" s="15" t="s">
        <v>119</v>
      </c>
      <c r="E107" s="48">
        <v>45716</v>
      </c>
      <c r="G107" s="49">
        <v>75000</v>
      </c>
      <c r="H107" s="49">
        <v>0</v>
      </c>
    </row>
    <row r="108" spans="3:8" x14ac:dyDescent="0.2">
      <c r="C108" s="15" t="s">
        <v>118</v>
      </c>
      <c r="D108" s="15" t="s">
        <v>119</v>
      </c>
      <c r="E108" s="48">
        <v>45747</v>
      </c>
      <c r="G108" s="49">
        <v>75000</v>
      </c>
      <c r="H108" s="49">
        <v>0</v>
      </c>
    </row>
    <row r="109" spans="3:8" x14ac:dyDescent="0.2">
      <c r="C109" s="15" t="s">
        <v>120</v>
      </c>
      <c r="D109" s="15" t="s">
        <v>121</v>
      </c>
      <c r="E109" s="48">
        <v>45688</v>
      </c>
      <c r="G109" s="49">
        <v>62000</v>
      </c>
      <c r="H109" s="49">
        <v>0</v>
      </c>
    </row>
    <row r="110" spans="3:8" x14ac:dyDescent="0.2">
      <c r="C110" s="15" t="s">
        <v>120</v>
      </c>
      <c r="D110" s="15" t="s">
        <v>121</v>
      </c>
      <c r="E110" s="48">
        <v>45716</v>
      </c>
      <c r="G110" s="49">
        <v>62000</v>
      </c>
      <c r="H110" s="49">
        <v>0</v>
      </c>
    </row>
    <row r="111" spans="3:8" x14ac:dyDescent="0.2">
      <c r="C111" s="15" t="s">
        <v>120</v>
      </c>
      <c r="D111" s="15" t="s">
        <v>121</v>
      </c>
      <c r="E111" s="48">
        <v>45747</v>
      </c>
      <c r="G111" s="49">
        <v>62000</v>
      </c>
      <c r="H111" s="49">
        <v>0</v>
      </c>
    </row>
    <row r="112" spans="3:8" x14ac:dyDescent="0.2">
      <c r="C112" s="15" t="s">
        <v>122</v>
      </c>
      <c r="D112" s="15" t="s">
        <v>123</v>
      </c>
      <c r="E112" s="48">
        <v>45688</v>
      </c>
      <c r="G112" s="49">
        <v>44290</v>
      </c>
      <c r="H112" s="49">
        <v>0</v>
      </c>
    </row>
    <row r="113" spans="3:8" x14ac:dyDescent="0.2">
      <c r="C113" s="15" t="s">
        <v>122</v>
      </c>
      <c r="D113" s="15" t="s">
        <v>123</v>
      </c>
      <c r="E113" s="48">
        <v>45716</v>
      </c>
      <c r="G113" s="49">
        <v>44290</v>
      </c>
      <c r="H113" s="49">
        <v>0</v>
      </c>
    </row>
    <row r="114" spans="3:8" x14ac:dyDescent="0.2">
      <c r="C114" s="15" t="s">
        <v>122</v>
      </c>
      <c r="D114" s="15" t="s">
        <v>123</v>
      </c>
      <c r="E114" s="48">
        <v>45747</v>
      </c>
      <c r="G114" s="49">
        <v>44290</v>
      </c>
      <c r="H114" s="49">
        <v>0</v>
      </c>
    </row>
    <row r="115" spans="3:8" x14ac:dyDescent="0.2">
      <c r="C115" s="15" t="s">
        <v>124</v>
      </c>
      <c r="D115" s="15" t="s">
        <v>125</v>
      </c>
      <c r="E115" s="48">
        <v>45688</v>
      </c>
      <c r="G115" s="49">
        <v>27937</v>
      </c>
      <c r="H115" s="49">
        <v>0</v>
      </c>
    </row>
    <row r="116" spans="3:8" x14ac:dyDescent="0.2">
      <c r="C116" s="15" t="s">
        <v>124</v>
      </c>
      <c r="D116" s="15" t="s">
        <v>125</v>
      </c>
      <c r="E116" s="48">
        <v>45716</v>
      </c>
      <c r="G116" s="49">
        <v>27937</v>
      </c>
      <c r="H116" s="49">
        <v>0</v>
      </c>
    </row>
    <row r="117" spans="3:8" x14ac:dyDescent="0.2">
      <c r="C117" s="15" t="s">
        <v>124</v>
      </c>
      <c r="D117" s="15" t="s">
        <v>125</v>
      </c>
      <c r="E117" s="48">
        <v>45747</v>
      </c>
      <c r="G117" s="49">
        <v>27937</v>
      </c>
      <c r="H117" s="49">
        <v>0</v>
      </c>
    </row>
    <row r="118" spans="3:8" x14ac:dyDescent="0.2">
      <c r="C118" s="15" t="s">
        <v>126</v>
      </c>
      <c r="D118" s="15" t="s">
        <v>127</v>
      </c>
      <c r="E118" s="48">
        <v>45688</v>
      </c>
      <c r="G118" s="49">
        <v>44288</v>
      </c>
      <c r="H118" s="49">
        <v>0</v>
      </c>
    </row>
    <row r="119" spans="3:8" x14ac:dyDescent="0.2">
      <c r="C119" s="15" t="s">
        <v>126</v>
      </c>
      <c r="D119" s="15" t="s">
        <v>127</v>
      </c>
      <c r="E119" s="48">
        <v>45716</v>
      </c>
      <c r="G119" s="49">
        <v>44288</v>
      </c>
      <c r="H119" s="49">
        <v>0</v>
      </c>
    </row>
    <row r="120" spans="3:8" x14ac:dyDescent="0.2">
      <c r="C120" s="15" t="s">
        <v>126</v>
      </c>
      <c r="D120" s="15" t="s">
        <v>127</v>
      </c>
      <c r="E120" s="48">
        <v>45747</v>
      </c>
      <c r="G120" s="49">
        <v>44288</v>
      </c>
      <c r="H120" s="49">
        <v>0</v>
      </c>
    </row>
    <row r="121" spans="3:8" x14ac:dyDescent="0.2">
      <c r="C121" s="15" t="s">
        <v>128</v>
      </c>
      <c r="D121" s="15" t="s">
        <v>129</v>
      </c>
      <c r="E121" s="48">
        <v>45688</v>
      </c>
      <c r="G121" s="49">
        <v>24825</v>
      </c>
      <c r="H121" s="49">
        <v>0</v>
      </c>
    </row>
    <row r="122" spans="3:8" x14ac:dyDescent="0.2">
      <c r="C122" s="15" t="s">
        <v>128</v>
      </c>
      <c r="D122" s="15" t="s">
        <v>129</v>
      </c>
      <c r="E122" s="48">
        <v>45716</v>
      </c>
      <c r="G122" s="49">
        <v>24825</v>
      </c>
      <c r="H122" s="49">
        <v>0</v>
      </c>
    </row>
    <row r="123" spans="3:8" x14ac:dyDescent="0.2">
      <c r="C123" s="15" t="s">
        <v>128</v>
      </c>
      <c r="D123" s="15" t="s">
        <v>129</v>
      </c>
      <c r="E123" s="48">
        <v>45747</v>
      </c>
      <c r="G123" s="49">
        <v>24825</v>
      </c>
      <c r="H123" s="49">
        <v>0</v>
      </c>
    </row>
    <row r="124" spans="3:8" x14ac:dyDescent="0.2">
      <c r="C124" s="15" t="s">
        <v>130</v>
      </c>
      <c r="D124" s="15" t="s">
        <v>131</v>
      </c>
      <c r="E124" s="48">
        <v>45688</v>
      </c>
      <c r="G124" s="49">
        <v>31667</v>
      </c>
      <c r="H124" s="49">
        <v>0</v>
      </c>
    </row>
    <row r="125" spans="3:8" x14ac:dyDescent="0.2">
      <c r="C125" s="15" t="s">
        <v>130</v>
      </c>
      <c r="D125" s="15" t="s">
        <v>131</v>
      </c>
      <c r="E125" s="48">
        <v>45716</v>
      </c>
      <c r="G125" s="49">
        <v>31667</v>
      </c>
      <c r="H125" s="49">
        <v>0</v>
      </c>
    </row>
    <row r="126" spans="3:8" x14ac:dyDescent="0.2">
      <c r="C126" s="15" t="s">
        <v>130</v>
      </c>
      <c r="D126" s="15" t="s">
        <v>131</v>
      </c>
      <c r="E126" s="48">
        <v>45747</v>
      </c>
      <c r="G126" s="49">
        <v>31667</v>
      </c>
      <c r="H126" s="49">
        <v>0</v>
      </c>
    </row>
  </sheetData>
  <sheetProtection password="FAD4" sheet="1" insertRows="0" autoFilter="0"/>
  <autoFilter ref="A3:S126"/>
  <dataValidations count="24">
    <dataValidation type="date" allowBlank="1" showInputMessage="1" showErrorMessage="1" sqref="D1">
      <formula1>38534</formula1>
      <formula2>38625</formula2>
    </dataValidation>
    <dataValidation allowBlank="1" sqref="T1 AM1:IV1 D2:D3 T4:T65536 G1:M3 A1:C3 U1:AL3"/>
    <dataValidation allowBlank="1" showInputMessage="1" showErrorMessage="1" promptTitle="Date Format" prompt="The date format must be dd/mm/yy._x000a__x000a_e.g. 15th March 2002 should be written as 15/03/02_x000a__x000a_PSPL" sqref="E3 N3"/>
    <dataValidation allowBlank="1" showInputMessage="1" showErrorMessage="1" promptTitle="Name of Employee" prompt="Feed name of employee, you can leave blank field/s in case of further entries of  same employee_x000a_...PSPL" sqref="D4 D20"/>
    <dataValidation type="date" operator="lessThanOrEqual" allowBlank="1" showInputMessage="1" showErrorMessage="1" promptTitle="Date Format" prompt="The date format must be dd/mm/yy and it must be less than or equal to end date of quarter for which the  return is to be submitted._x000a_...PSPL" sqref="E4">
      <formula1>date_end</formula1>
    </dataValidation>
    <dataValidation type="textLength" operator="equal" allowBlank="1" showInputMessage="1" showErrorMessage="1" error="WRONG PAN" promptTitle="PAN" prompt="Either feed correct 10 digits PAN otherwise 'PANNOTAVBL' , 'PANINVALID'  'PANAPPLIED' _x000a__x000a_...PSPL" sqref="D97 C4:C96 C98:C65536">
      <formula1>10</formula1>
    </dataValidation>
    <dataValidation allowBlank="1" showErrorMessage="1" promptTitle="Name of Employee" prompt="Feed name of employee, you can leave blank field/s in case of further entries of  same employee" sqref="D5:D6"/>
    <dataValidation type="date" allowBlank="1" showInputMessage="1" showErrorMessage="1" promptTitle="Date Format" prompt="The date format must be dd/mm/yy._x000a__x000a_e.g. 15th March 2002 should be written as 15/03/02_x000a__x000a_PSPL" sqref="E1:E2 N1:N2">
      <formula1>38534</formula1>
      <formula2>38625</formula2>
    </dataValidation>
    <dataValidation type="date" operator="lessThanOrEqual" allowBlank="1" showInputMessage="1" showErrorMessage="1" promptTitle="Date Format" prompt="The date format must be dd/mm/yy and it must be within the period of quarter for which the  return is to be submitted._x000a_...PSPL" sqref="E5:E65536">
      <formula1>date_end</formula1>
    </dataValidation>
    <dataValidation type="date" allowBlank="1" showInputMessage="1" showErrorMessage="1" sqref="F1:F5">
      <formula1>38443</formula1>
      <formula2>38533</formula2>
    </dataValidation>
    <dataValidation type="decimal" allowBlank="1" showInputMessage="1" showErrorMessage="1" promptTitle="Amount format" prompt="DO NOT enter comma (,) and Currency symbol._x000a_Place only two digits after decimal._x000a__x000a_e.g. 20000.50_x000a_       52000.00_x000a__x000a_PSPL" sqref="G4:G65536">
      <formula1>1</formula1>
      <formula2>999999999</formula2>
    </dataValidation>
    <dataValidation type="decimal" allowBlank="1" showInputMessage="1" showErrorMessage="1" promptTitle="Amount format" prompt="DO NOT enter comma (,) and Currency symbol._x000a_Place only two digits after decimal._x000a__x000a_e.g. 20000.50_x000a_       52000.00_x000a__x000a_PSPL" sqref="L4:L5 X4:AI5">
      <formula1>-999999999</formula1>
      <formula2>999999999</formula2>
    </dataValidation>
    <dataValidation type="decimal" allowBlank="1" showInputMessage="1" showErrorMessage="1" promptTitle="Amount format" prompt="DO NOT enter comma (,) and Currency symbol._x000a_Place only two digits after decimal._x000a__x000a_e.g. 20000.50_x000a_       52000.00_x000a__x000a_PSPL" sqref="M4:M65536 H4:K65536">
      <formula1>0</formula1>
      <formula2>999999999</formula2>
    </dataValidation>
    <dataValidation type="date" allowBlank="1" showInputMessage="1" showErrorMessage="1" promptTitle="Date Format" prompt="The date format must be dd/mm/yy and it must be within the Starting date of Financial Year and end date of quarter for which the  return is to be submitted._x000a_...PSPL" sqref="N4:N65536">
      <formula1>date_start</formula1>
      <formula2>date_end</formula2>
    </dataValidation>
    <dataValidation type="date" allowBlank="1" sqref="O1:O3 P2:R3">
      <formula1>29221</formula1>
      <formula2>TODAY()</formula2>
    </dataValidation>
    <dataValidation type="list" allowBlank="1" showInputMessage="1" showErrorMessage="1" promptTitle="Date Format" prompt="The date format must be dd/mm/yy and it must be within the period of quarter for which the  return is to be submitted._x000a_...PSPL" sqref="O4:O65536">
      <formula1>Date</formula1>
    </dataValidation>
    <dataValidation type="list" operator="lessThanOrEqual" allowBlank="1" showInputMessage="1" promptTitle="T.V./Ch.No." prompt="Select T.V./Ch.No., which are feeded in Challan Sheet, from Drop Down List only._x000a_...PSPL" sqref="P4:P65536">
      <formula1>Ch_No</formula1>
    </dataValidation>
    <dataValidation type="list" operator="lessThanOrEqual" allowBlank="1" showInputMessage="1" promptTitle="Bank Branch Code" prompt="Select Bank Branch Code, which are feeded in Challan Sheet, from Drop Down List only._x000a_...PSPL" sqref="Q4:Q65536">
      <formula1>BSR</formula1>
    </dataValidation>
    <dataValidation type="list" allowBlank="1" showInputMessage="1" showErrorMessage="1" promptTitle="Challan Detail" prompt="Select Challan,  which are feeded in Challan Sheet, from Drop Down List only._x000a_...PSPL" sqref="R4:R65536">
      <formula1>CIN</formula1>
    </dataValidation>
    <dataValidation type="list" allowBlank="1" showInputMessage="1" showErrorMessage="1" sqref="S4:S65536">
      <formula1>"A,B"</formula1>
    </dataValidation>
    <dataValidation type="date" allowBlank="1" showInputMessage="1" showErrorMessage="1" errorTitle="Date" error="Date on which tax deposted can not greater than Current System Date" promptTitle="Date on which tax deposit" prompt="The date format must be dd/mm/yy._x000a__x000a_e.g. 15th March 2002 should be written as 15/03/02_x000a__x000a_PSPL" sqref="U4:U5">
      <formula1>29312</formula1>
      <formula2>TODAY()</formula2>
    </dataValidation>
    <dataValidation allowBlank="1" showInputMessage="1" showErrorMessage="1" promptTitle="Bank Branch Code" prompt="Write the seven digit BSR code of your branch._x000a__x000a_PSPL" sqref="W4:W5"/>
    <dataValidation type="decimal" allowBlank="1" showErrorMessage="1" promptTitle="Amount format" prompt="DO NOT enter comma (,) and Currency symbol._x000a_Place only two digits after decimal._x000a__x000a_e.g. 20000.50_x000a_       52000.00_x000a__x000a_PSPL" sqref="AK4:AK5">
      <formula1>-999999999</formula1>
      <formula2>999999999</formula2>
    </dataValidation>
    <dataValidation type="whole" allowBlank="1" showInputMessage="1" showErrorMessage="1" promptTitle="Employee Serial Number" prompt="Serial No. Should be in a sequence._x000a_(Compulsory Field)_x000a__x000a_PSPL" sqref="A4:B65536">
      <formula1>1</formula1>
      <formula2>99999</formula2>
    </dataValidation>
  </dataValidations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4"/>
  <sheetViews>
    <sheetView workbookViewId="0">
      <selection activeCell="B19" sqref="B19"/>
    </sheetView>
  </sheetViews>
  <sheetFormatPr defaultColWidth="0" defaultRowHeight="12.75" x14ac:dyDescent="0.2"/>
  <cols>
    <col min="1" max="2" width="15.7109375" style="15" customWidth="1"/>
    <col min="3" max="3" width="14" style="15" customWidth="1"/>
    <col min="4" max="4" width="12.7109375" style="16" customWidth="1"/>
    <col min="5" max="6" width="14.7109375" style="16" customWidth="1"/>
    <col min="7" max="7" width="19.140625" style="1" customWidth="1"/>
    <col min="8" max="8" width="28.140625" style="1" customWidth="1"/>
    <col min="9" max="9" width="14.7109375" style="1" customWidth="1"/>
    <col min="10" max="10" width="15.7109375" style="17" customWidth="1"/>
    <col min="11" max="17" width="15.7109375" style="15" customWidth="1"/>
    <col min="18" max="18" width="15.7109375" style="17" customWidth="1"/>
    <col min="19" max="20" width="15.7109375" style="15" customWidth="1"/>
    <col min="21" max="21" width="11.7109375" style="17" customWidth="1"/>
    <col min="22" max="23" width="13.7109375" style="15" customWidth="1"/>
    <col min="24" max="24" width="15.7109375" style="17" customWidth="1"/>
    <col min="25" max="27" width="31.5703125" style="15" customWidth="1"/>
    <col min="28" max="29" width="23.42578125" style="15" customWidth="1"/>
    <col min="30" max="30" width="19.28515625" style="15" customWidth="1"/>
    <col min="31" max="31" width="15.7109375" style="17" customWidth="1"/>
    <col min="32" max="34" width="20.5703125" style="15" customWidth="1"/>
    <col min="35" max="36" width="22.85546875" style="15" customWidth="1"/>
    <col min="37" max="38" width="20.140625" style="15" customWidth="1"/>
    <col min="39" max="41" width="25.28515625" style="15" customWidth="1"/>
    <col min="42" max="44" width="27.85546875" style="15" customWidth="1"/>
    <col min="45" max="47" width="19" style="15" customWidth="1"/>
    <col min="48" max="48" width="20.5703125" style="15" customWidth="1"/>
    <col min="49" max="50" width="15.7109375" style="17" customWidth="1"/>
    <col min="51" max="52" width="15.7109375" style="15" customWidth="1"/>
    <col min="53" max="54" width="12.7109375" style="15" customWidth="1"/>
    <col min="55" max="55" width="15.7109375" style="15" customWidth="1"/>
    <col min="56" max="56" width="15.7109375" style="17" customWidth="1"/>
    <col min="57" max="58" width="15.7109375" style="15" customWidth="1"/>
    <col min="59" max="59" width="9.5703125" style="17" customWidth="1"/>
    <col min="60" max="60" width="12" style="17" customWidth="1"/>
    <col min="61" max="61" width="12" style="15" customWidth="1"/>
    <col min="62" max="62" width="9.140625" style="15" customWidth="1"/>
    <col min="63" max="63" width="11.42578125" style="15" customWidth="1"/>
    <col min="64" max="64" width="14.28515625" style="15" customWidth="1"/>
    <col min="65" max="65" width="17.7109375" style="15" customWidth="1"/>
    <col min="66" max="66" width="11.28515625" style="15" customWidth="1"/>
    <col min="67" max="67" width="14.28515625" style="15" customWidth="1"/>
    <col min="68" max="68" width="16" style="15" customWidth="1"/>
    <col min="69" max="69" width="12.5703125" style="15" customWidth="1"/>
    <col min="70" max="70" width="14.28515625" style="15" customWidth="1"/>
    <col min="71" max="71" width="16.28515625" style="15" customWidth="1"/>
    <col min="72" max="72" width="10.85546875" style="15" customWidth="1"/>
    <col min="73" max="73" width="14.28515625" style="15" customWidth="1"/>
    <col min="74" max="74" width="16" style="15" customWidth="1"/>
    <col min="75" max="76" width="9.140625" style="15" customWidth="1"/>
    <col min="77" max="77" width="14" style="15" customWidth="1"/>
    <col min="78" max="78" width="14.28515625" style="15" customWidth="1"/>
    <col min="79" max="79" width="18.28515625" style="15" customWidth="1"/>
    <col min="80" max="80" width="16.28515625" style="15" customWidth="1"/>
    <col min="81" max="81" width="14.28515625" style="15" customWidth="1"/>
    <col min="82" max="82" width="16.42578125" style="15" customWidth="1"/>
    <col min="83" max="83" width="15.7109375" style="15" customWidth="1"/>
    <col min="84" max="84" width="14.28515625" style="15" customWidth="1"/>
    <col min="85" max="85" width="18.5703125" style="15" customWidth="1"/>
    <col min="86" max="86" width="15.85546875" style="15" customWidth="1"/>
    <col min="87" max="87" width="14.28515625" style="15" customWidth="1"/>
    <col min="88" max="88" width="19" style="15" customWidth="1"/>
    <col min="89" max="89" width="13.5703125" style="15" customWidth="1"/>
    <col min="90" max="90" width="17.7109375" style="15" customWidth="1"/>
    <col min="91" max="91" width="14.42578125" style="15" customWidth="1"/>
    <col min="92" max="92" width="14.7109375" style="15" customWidth="1"/>
    <col min="93" max="93" width="12.7109375" style="15" customWidth="1"/>
    <col min="94" max="94" width="11.140625" style="15" customWidth="1"/>
    <col min="95" max="95" width="12.42578125" style="15" customWidth="1"/>
    <col min="96" max="96" width="12.85546875" style="18" customWidth="1"/>
    <col min="97" max="97" width="9.140625" style="15" customWidth="1"/>
    <col min="98" max="99" width="15.7109375" style="15" customWidth="1"/>
    <col min="100" max="100" width="9.140625" style="15" hidden="1" bestFit="1"/>
    <col min="101" max="16384" width="9.140625" style="15" hidden="1"/>
  </cols>
  <sheetData>
    <row r="1" spans="1:102" customFormat="1" ht="10.5" customHeight="1" x14ac:dyDescent="0.2">
      <c r="A1" s="19"/>
      <c r="F1" s="20" t="s">
        <v>2</v>
      </c>
      <c r="G1" s="20"/>
      <c r="H1" s="20"/>
      <c r="I1" s="20"/>
    </row>
    <row r="2" spans="1:102" customFormat="1" ht="179.25" customHeight="1" x14ac:dyDescent="0.2">
      <c r="A2" s="21" t="s">
        <v>132</v>
      </c>
      <c r="B2" s="21" t="s">
        <v>29</v>
      </c>
      <c r="C2" s="21" t="s">
        <v>133</v>
      </c>
      <c r="D2" s="22" t="s">
        <v>134</v>
      </c>
      <c r="E2" s="23" t="s">
        <v>135</v>
      </c>
      <c r="F2" s="23" t="s">
        <v>31</v>
      </c>
      <c r="G2" s="23" t="s">
        <v>136</v>
      </c>
      <c r="H2" s="23" t="s">
        <v>137</v>
      </c>
      <c r="I2" s="23" t="s">
        <v>138</v>
      </c>
      <c r="J2" s="23" t="s">
        <v>139</v>
      </c>
      <c r="K2" s="23" t="s">
        <v>140</v>
      </c>
      <c r="L2" s="23" t="s">
        <v>141</v>
      </c>
      <c r="M2" s="23" t="s">
        <v>142</v>
      </c>
      <c r="N2" s="23" t="s">
        <v>143</v>
      </c>
      <c r="O2" s="23" t="s">
        <v>144</v>
      </c>
      <c r="P2" s="23" t="s">
        <v>145</v>
      </c>
      <c r="Q2" s="23" t="s">
        <v>146</v>
      </c>
      <c r="R2" s="23" t="s">
        <v>147</v>
      </c>
      <c r="S2" s="31" t="s">
        <v>148</v>
      </c>
      <c r="T2" s="31" t="s">
        <v>149</v>
      </c>
      <c r="U2" s="31" t="s">
        <v>150</v>
      </c>
      <c r="V2" s="21" t="s">
        <v>151</v>
      </c>
      <c r="W2" s="31" t="s">
        <v>152</v>
      </c>
      <c r="X2" s="31" t="s">
        <v>153</v>
      </c>
      <c r="Y2" s="21" t="s">
        <v>154</v>
      </c>
      <c r="Z2" s="21" t="s">
        <v>154</v>
      </c>
      <c r="AA2" s="21" t="s">
        <v>155</v>
      </c>
      <c r="AB2" s="21" t="s">
        <v>155</v>
      </c>
      <c r="AC2" s="31" t="s">
        <v>156</v>
      </c>
      <c r="AD2" s="31" t="s">
        <v>156</v>
      </c>
      <c r="AE2" s="31" t="s">
        <v>157</v>
      </c>
      <c r="AF2" s="31" t="s">
        <v>158</v>
      </c>
      <c r="AG2" s="31" t="s">
        <v>158</v>
      </c>
      <c r="AH2" s="31" t="s">
        <v>159</v>
      </c>
      <c r="AI2" s="31" t="s">
        <v>159</v>
      </c>
      <c r="AJ2" s="31" t="s">
        <v>160</v>
      </c>
      <c r="AK2" s="31" t="s">
        <v>160</v>
      </c>
      <c r="AL2" s="31" t="s">
        <v>161</v>
      </c>
      <c r="AM2" s="31" t="s">
        <v>161</v>
      </c>
      <c r="AN2" s="31" t="s">
        <v>162</v>
      </c>
      <c r="AO2" s="31" t="s">
        <v>162</v>
      </c>
      <c r="AP2" s="31" t="s">
        <v>162</v>
      </c>
      <c r="AQ2" s="31" t="s">
        <v>163</v>
      </c>
      <c r="AR2" s="31" t="s">
        <v>163</v>
      </c>
      <c r="AS2" s="31" t="s">
        <v>163</v>
      </c>
      <c r="AT2" s="31" t="s">
        <v>164</v>
      </c>
      <c r="AU2" s="31" t="s">
        <v>164</v>
      </c>
      <c r="AV2" s="31" t="s">
        <v>164</v>
      </c>
      <c r="AW2" s="31" t="s">
        <v>165</v>
      </c>
      <c r="AX2" s="31" t="s">
        <v>166</v>
      </c>
      <c r="AY2" s="31" t="s">
        <v>167</v>
      </c>
      <c r="AZ2" s="31" t="s">
        <v>168</v>
      </c>
      <c r="BA2" s="31" t="s">
        <v>169</v>
      </c>
      <c r="BB2" s="31" t="s">
        <v>170</v>
      </c>
      <c r="BC2" s="31" t="s">
        <v>171</v>
      </c>
      <c r="BD2" s="31" t="s">
        <v>172</v>
      </c>
      <c r="BE2" s="35" t="s">
        <v>173</v>
      </c>
      <c r="BF2" s="35" t="s">
        <v>174</v>
      </c>
      <c r="BG2" s="35" t="s">
        <v>175</v>
      </c>
      <c r="BH2" s="35" t="s">
        <v>176</v>
      </c>
      <c r="BI2" s="35" t="s">
        <v>177</v>
      </c>
      <c r="BJ2" s="35" t="s">
        <v>178</v>
      </c>
      <c r="BK2" s="35" t="s">
        <v>179</v>
      </c>
      <c r="BL2" s="35" t="s">
        <v>180</v>
      </c>
      <c r="BM2" s="35" t="s">
        <v>181</v>
      </c>
      <c r="BN2" s="35" t="s">
        <v>182</v>
      </c>
      <c r="BO2" s="35" t="s">
        <v>183</v>
      </c>
      <c r="BP2" s="35" t="s">
        <v>184</v>
      </c>
      <c r="BQ2" s="35" t="s">
        <v>185</v>
      </c>
      <c r="BR2" s="35" t="s">
        <v>186</v>
      </c>
      <c r="BS2" s="35" t="s">
        <v>187</v>
      </c>
      <c r="BT2" s="35" t="s">
        <v>188</v>
      </c>
      <c r="BU2" s="35" t="s">
        <v>189</v>
      </c>
      <c r="BV2" s="35" t="s">
        <v>190</v>
      </c>
      <c r="BW2" s="35" t="s">
        <v>191</v>
      </c>
      <c r="BX2" s="35" t="s">
        <v>192</v>
      </c>
      <c r="BY2" s="35" t="s">
        <v>193</v>
      </c>
      <c r="BZ2" s="35" t="s">
        <v>194</v>
      </c>
      <c r="CA2" s="35" t="s">
        <v>195</v>
      </c>
      <c r="CB2" s="35" t="s">
        <v>196</v>
      </c>
      <c r="CC2" s="35" t="s">
        <v>197</v>
      </c>
      <c r="CD2" s="35" t="s">
        <v>198</v>
      </c>
      <c r="CE2" s="35" t="s">
        <v>199</v>
      </c>
      <c r="CF2" s="35" t="s">
        <v>200</v>
      </c>
      <c r="CG2" s="35" t="s">
        <v>201</v>
      </c>
      <c r="CH2" s="35" t="s">
        <v>202</v>
      </c>
      <c r="CI2" s="35" t="s">
        <v>203</v>
      </c>
      <c r="CJ2" s="35" t="s">
        <v>204</v>
      </c>
      <c r="CK2" s="35" t="s">
        <v>205</v>
      </c>
      <c r="CL2" s="35" t="s">
        <v>206</v>
      </c>
      <c r="CM2" s="35" t="s">
        <v>207</v>
      </c>
      <c r="CN2" s="35" t="s">
        <v>208</v>
      </c>
      <c r="CO2" s="35" t="s">
        <v>209</v>
      </c>
      <c r="CP2" s="35" t="s">
        <v>210</v>
      </c>
      <c r="CQ2" s="35" t="s">
        <v>211</v>
      </c>
      <c r="CR2" s="41" t="s">
        <v>212</v>
      </c>
      <c r="CS2" s="41" t="s">
        <v>213</v>
      </c>
      <c r="CT2" s="23" t="s">
        <v>214</v>
      </c>
      <c r="CU2" s="23" t="s">
        <v>215</v>
      </c>
    </row>
    <row r="3" spans="1:102" s="14" customFormat="1" ht="73.5" x14ac:dyDescent="0.2">
      <c r="A3" s="24" t="s">
        <v>216</v>
      </c>
      <c r="B3" s="24" t="s">
        <v>216</v>
      </c>
      <c r="C3" s="24" t="s">
        <v>216</v>
      </c>
      <c r="D3" s="24"/>
      <c r="E3" s="25" t="s">
        <v>217</v>
      </c>
      <c r="F3" s="25" t="s">
        <v>218</v>
      </c>
      <c r="G3" s="24" t="s">
        <v>216</v>
      </c>
      <c r="H3" s="24" t="s">
        <v>216</v>
      </c>
      <c r="I3" s="24" t="s">
        <v>216</v>
      </c>
      <c r="J3" s="25" t="s">
        <v>219</v>
      </c>
      <c r="K3" s="28"/>
      <c r="L3" s="28"/>
      <c r="M3" s="28"/>
      <c r="N3" s="28"/>
      <c r="O3" s="28"/>
      <c r="P3" s="28"/>
      <c r="Q3" s="28"/>
      <c r="R3" s="25" t="s">
        <v>219</v>
      </c>
      <c r="S3" s="32"/>
      <c r="T3" s="32"/>
      <c r="U3" s="25" t="s">
        <v>219</v>
      </c>
      <c r="V3" s="32"/>
      <c r="W3" s="32"/>
      <c r="X3" s="25" t="s">
        <v>219</v>
      </c>
      <c r="Y3" s="33" t="s">
        <v>220</v>
      </c>
      <c r="Z3" s="33" t="s">
        <v>221</v>
      </c>
      <c r="AA3" s="33" t="s">
        <v>220</v>
      </c>
      <c r="AB3" s="33" t="s">
        <v>221</v>
      </c>
      <c r="AC3" s="33" t="s">
        <v>220</v>
      </c>
      <c r="AD3" s="33" t="s">
        <v>221</v>
      </c>
      <c r="AE3" s="25" t="s">
        <v>219</v>
      </c>
      <c r="AF3" s="33" t="s">
        <v>220</v>
      </c>
      <c r="AG3" s="33" t="s">
        <v>221</v>
      </c>
      <c r="AH3" s="33" t="s">
        <v>220</v>
      </c>
      <c r="AI3" s="33" t="s">
        <v>221</v>
      </c>
      <c r="AJ3" s="33" t="s">
        <v>220</v>
      </c>
      <c r="AK3" s="33" t="s">
        <v>221</v>
      </c>
      <c r="AL3" s="33" t="s">
        <v>220</v>
      </c>
      <c r="AM3" s="33" t="s">
        <v>221</v>
      </c>
      <c r="AN3" s="33" t="s">
        <v>220</v>
      </c>
      <c r="AO3" s="33" t="s">
        <v>222</v>
      </c>
      <c r="AP3" s="33" t="s">
        <v>221</v>
      </c>
      <c r="AQ3" s="33" t="s">
        <v>220</v>
      </c>
      <c r="AR3" s="33" t="s">
        <v>222</v>
      </c>
      <c r="AS3" s="33" t="s">
        <v>221</v>
      </c>
      <c r="AT3" s="33" t="s">
        <v>220</v>
      </c>
      <c r="AU3" s="33" t="s">
        <v>222</v>
      </c>
      <c r="AV3" s="33" t="s">
        <v>221</v>
      </c>
      <c r="AW3" s="25" t="s">
        <v>219</v>
      </c>
      <c r="AX3" s="25" t="s">
        <v>219</v>
      </c>
      <c r="AY3" s="34"/>
      <c r="AZ3" s="34"/>
      <c r="BA3" s="34"/>
      <c r="BB3" s="34"/>
      <c r="BC3" s="34"/>
      <c r="BD3" s="25" t="s">
        <v>219</v>
      </c>
      <c r="BE3" s="25" t="s">
        <v>223</v>
      </c>
      <c r="BF3" s="34"/>
      <c r="BG3" s="25" t="s">
        <v>219</v>
      </c>
      <c r="BH3" s="25" t="s">
        <v>219</v>
      </c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25" t="s">
        <v>219</v>
      </c>
      <c r="CS3" s="36"/>
      <c r="CT3" s="28"/>
      <c r="CU3" s="28"/>
    </row>
    <row r="4" spans="1:102" customFormat="1" x14ac:dyDescent="0.2">
      <c r="A4" s="26">
        <v>331</v>
      </c>
      <c r="B4" s="26">
        <v>332</v>
      </c>
      <c r="C4" s="26"/>
      <c r="D4" s="26">
        <v>333</v>
      </c>
      <c r="E4" s="26" t="s">
        <v>224</v>
      </c>
      <c r="F4" s="26" t="s">
        <v>225</v>
      </c>
      <c r="G4" s="26">
        <v>335</v>
      </c>
      <c r="H4" s="26">
        <v>336</v>
      </c>
      <c r="I4" s="26">
        <v>337</v>
      </c>
      <c r="J4" s="26">
        <v>338</v>
      </c>
      <c r="K4" s="26">
        <v>339</v>
      </c>
      <c r="L4" s="29">
        <v>340</v>
      </c>
      <c r="M4" s="29">
        <v>341</v>
      </c>
      <c r="N4" s="29">
        <v>342</v>
      </c>
      <c r="O4" s="29">
        <v>343</v>
      </c>
      <c r="P4" s="29">
        <v>344</v>
      </c>
      <c r="Q4" s="29">
        <v>346</v>
      </c>
      <c r="R4" s="29">
        <v>347</v>
      </c>
      <c r="S4" s="29">
        <v>349</v>
      </c>
      <c r="T4" s="29">
        <v>350</v>
      </c>
      <c r="U4" s="29">
        <v>351</v>
      </c>
      <c r="V4" s="29">
        <v>352</v>
      </c>
      <c r="W4" s="29">
        <v>354</v>
      </c>
      <c r="X4" s="29">
        <v>355</v>
      </c>
      <c r="Y4" s="29"/>
      <c r="Z4" s="29">
        <v>356</v>
      </c>
      <c r="AA4" s="29"/>
      <c r="AB4" s="29">
        <v>357</v>
      </c>
      <c r="AC4" s="29"/>
      <c r="AD4" s="29">
        <v>358</v>
      </c>
      <c r="AE4" s="29"/>
      <c r="AF4" s="29"/>
      <c r="AG4" s="29">
        <v>359</v>
      </c>
      <c r="AH4" s="29"/>
      <c r="AI4" s="29">
        <v>360</v>
      </c>
      <c r="AJ4" s="29"/>
      <c r="AK4" s="29">
        <v>361</v>
      </c>
      <c r="AL4" s="29"/>
      <c r="AM4" s="29">
        <v>362</v>
      </c>
      <c r="AN4" s="29"/>
      <c r="AO4" s="29"/>
      <c r="AP4" s="29">
        <v>363</v>
      </c>
      <c r="AQ4" s="29"/>
      <c r="AR4" s="29"/>
      <c r="AS4" s="29">
        <v>364</v>
      </c>
      <c r="AT4" s="29"/>
      <c r="AU4" s="29"/>
      <c r="AV4" s="29">
        <v>365</v>
      </c>
      <c r="AW4" s="29">
        <v>366</v>
      </c>
      <c r="AX4" s="29">
        <v>367</v>
      </c>
      <c r="AY4" s="29">
        <v>368</v>
      </c>
      <c r="AZ4" s="29">
        <v>369</v>
      </c>
      <c r="BA4" s="29">
        <v>370</v>
      </c>
      <c r="BB4" s="29">
        <v>371</v>
      </c>
      <c r="BC4" s="29">
        <v>372</v>
      </c>
      <c r="BD4" s="29">
        <v>373</v>
      </c>
      <c r="BE4" s="29">
        <v>374</v>
      </c>
      <c r="BF4" s="29">
        <v>375</v>
      </c>
      <c r="BG4" s="29">
        <v>376</v>
      </c>
      <c r="BH4" s="29">
        <v>377</v>
      </c>
      <c r="BI4" s="37"/>
      <c r="BJ4" s="38"/>
      <c r="BK4" s="38" t="s">
        <v>226</v>
      </c>
      <c r="BL4" s="38" t="s">
        <v>226</v>
      </c>
      <c r="BM4" s="39"/>
      <c r="BN4" s="38" t="s">
        <v>227</v>
      </c>
      <c r="BO4" s="37" t="s">
        <v>227</v>
      </c>
      <c r="BP4" s="39"/>
      <c r="BQ4" s="38" t="s">
        <v>228</v>
      </c>
      <c r="BR4" s="37" t="s">
        <v>228</v>
      </c>
      <c r="BS4" s="39"/>
      <c r="BT4" s="38" t="s">
        <v>229</v>
      </c>
      <c r="BU4" s="37" t="s">
        <v>230</v>
      </c>
      <c r="BV4" s="39"/>
      <c r="BW4" s="40"/>
      <c r="BX4" s="39"/>
      <c r="BY4" s="38" t="s">
        <v>231</v>
      </c>
      <c r="BZ4" s="38" t="s">
        <v>231</v>
      </c>
      <c r="CA4" s="39"/>
      <c r="CB4" s="38" t="s">
        <v>232</v>
      </c>
      <c r="CC4" s="38" t="s">
        <v>232</v>
      </c>
      <c r="CD4" s="38"/>
      <c r="CE4" s="38" t="s">
        <v>233</v>
      </c>
      <c r="CF4" s="38" t="s">
        <v>233</v>
      </c>
      <c r="CG4" s="39"/>
      <c r="CH4" s="38" t="s">
        <v>234</v>
      </c>
      <c r="CI4" s="38" t="s">
        <v>234</v>
      </c>
      <c r="CJ4" s="39"/>
      <c r="CK4" s="39"/>
      <c r="CL4" s="39"/>
      <c r="CM4" s="39"/>
      <c r="CN4" s="39"/>
      <c r="CO4" s="39"/>
      <c r="CP4" s="39"/>
      <c r="CQ4" s="39"/>
      <c r="CR4" s="42"/>
      <c r="CS4" s="39"/>
      <c r="CT4" s="29"/>
      <c r="CU4" s="29"/>
    </row>
    <row r="5" spans="1:102" x14ac:dyDescent="0.2">
      <c r="A5" s="27" t="s">
        <v>88</v>
      </c>
      <c r="B5" s="27" t="s">
        <v>235</v>
      </c>
      <c r="C5" s="27"/>
      <c r="D5" s="16" t="s">
        <v>236</v>
      </c>
      <c r="E5" s="16" t="s">
        <v>237</v>
      </c>
      <c r="F5" s="16" t="s">
        <v>238</v>
      </c>
      <c r="G5" s="1">
        <v>920931</v>
      </c>
      <c r="H5" s="1">
        <v>0</v>
      </c>
      <c r="I5" s="30">
        <v>0</v>
      </c>
      <c r="J5" s="17">
        <v>920931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7">
        <v>0</v>
      </c>
      <c r="S5" s="15">
        <v>0</v>
      </c>
      <c r="T5" s="15">
        <v>0</v>
      </c>
      <c r="V5" s="15">
        <v>0</v>
      </c>
      <c r="W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7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Y5" s="15">
        <v>34593</v>
      </c>
      <c r="AZ5" s="15">
        <v>0</v>
      </c>
      <c r="BA5" s="15">
        <v>0</v>
      </c>
      <c r="BB5" s="15">
        <v>1384</v>
      </c>
      <c r="BC5" s="15">
        <v>0</v>
      </c>
      <c r="BF5" s="15">
        <v>0</v>
      </c>
      <c r="BI5" s="15" t="s">
        <v>239</v>
      </c>
      <c r="BK5" s="27"/>
      <c r="BM5" s="27"/>
      <c r="BN5" s="27"/>
      <c r="BP5" s="27"/>
      <c r="BQ5" s="27"/>
      <c r="BS5" s="27"/>
      <c r="BW5" s="15" t="s">
        <v>239</v>
      </c>
      <c r="BY5" s="27"/>
      <c r="CA5" s="27"/>
      <c r="CB5" s="27"/>
      <c r="CD5" s="27"/>
      <c r="CE5" s="27"/>
      <c r="CG5" s="27"/>
      <c r="CK5" s="15" t="s">
        <v>239</v>
      </c>
      <c r="CL5" s="27"/>
      <c r="CM5" s="43"/>
      <c r="CN5" s="44"/>
      <c r="CS5" s="15" t="s">
        <v>240</v>
      </c>
      <c r="CT5" s="15">
        <v>0</v>
      </c>
      <c r="CU5" s="15">
        <v>0</v>
      </c>
      <c r="CX5" s="15">
        <v>34</v>
      </c>
    </row>
    <row r="6" spans="1:102" x14ac:dyDescent="0.2">
      <c r="A6" s="15" t="s">
        <v>60</v>
      </c>
      <c r="B6" s="15" t="s">
        <v>61</v>
      </c>
      <c r="D6" s="16" t="s">
        <v>236</v>
      </c>
      <c r="E6" s="16" t="s">
        <v>237</v>
      </c>
      <c r="F6" s="16" t="s">
        <v>238</v>
      </c>
      <c r="G6" s="1">
        <v>3600000</v>
      </c>
      <c r="H6" s="1">
        <v>0</v>
      </c>
      <c r="I6" s="1">
        <v>0</v>
      </c>
      <c r="J6" s="17">
        <v>3600000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7">
        <v>0</v>
      </c>
      <c r="S6" s="15">
        <v>0</v>
      </c>
      <c r="T6" s="15">
        <v>0</v>
      </c>
      <c r="V6" s="15">
        <v>0</v>
      </c>
      <c r="W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7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Y6" s="15">
        <v>747500</v>
      </c>
      <c r="AZ6" s="15">
        <v>0</v>
      </c>
      <c r="BA6" s="15">
        <v>0</v>
      </c>
      <c r="BB6" s="15">
        <v>29900</v>
      </c>
      <c r="BC6" s="15">
        <v>0</v>
      </c>
      <c r="BF6" s="15">
        <v>0</v>
      </c>
      <c r="BI6" s="15" t="s">
        <v>239</v>
      </c>
      <c r="BW6" s="15" t="s">
        <v>239</v>
      </c>
      <c r="CK6" s="15" t="s">
        <v>239</v>
      </c>
      <c r="CS6" s="15" t="s">
        <v>240</v>
      </c>
      <c r="CT6" s="15">
        <v>0</v>
      </c>
      <c r="CU6" s="15">
        <v>0</v>
      </c>
      <c r="CX6" s="15">
        <v>35</v>
      </c>
    </row>
    <row r="7" spans="1:102" x14ac:dyDescent="0.2">
      <c r="A7" s="15" t="s">
        <v>130</v>
      </c>
      <c r="B7" s="15" t="s">
        <v>131</v>
      </c>
      <c r="D7" s="16" t="s">
        <v>236</v>
      </c>
      <c r="E7" s="16" t="s">
        <v>237</v>
      </c>
      <c r="F7" s="16" t="s">
        <v>238</v>
      </c>
      <c r="G7" s="1">
        <v>380000</v>
      </c>
      <c r="H7" s="1">
        <v>0</v>
      </c>
      <c r="I7" s="1">
        <v>0</v>
      </c>
      <c r="J7" s="17">
        <v>380000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7">
        <v>0</v>
      </c>
      <c r="S7" s="15">
        <v>0</v>
      </c>
      <c r="T7" s="15">
        <v>0</v>
      </c>
      <c r="V7" s="15">
        <v>0</v>
      </c>
      <c r="W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7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Y7" s="15">
        <v>250</v>
      </c>
      <c r="AZ7" s="15">
        <v>250</v>
      </c>
      <c r="BA7" s="15">
        <v>0</v>
      </c>
      <c r="BB7" s="15">
        <v>0</v>
      </c>
      <c r="BC7" s="15">
        <v>0</v>
      </c>
      <c r="BF7" s="15">
        <v>0</v>
      </c>
      <c r="BI7" s="15" t="s">
        <v>239</v>
      </c>
      <c r="BW7" s="15" t="s">
        <v>239</v>
      </c>
      <c r="CK7" s="15" t="s">
        <v>239</v>
      </c>
      <c r="CS7" s="15" t="s">
        <v>240</v>
      </c>
      <c r="CT7" s="15">
        <v>0</v>
      </c>
      <c r="CU7" s="15">
        <v>0</v>
      </c>
      <c r="CX7" s="15">
        <v>36</v>
      </c>
    </row>
    <row r="8" spans="1:102" x14ac:dyDescent="0.2">
      <c r="A8" s="15" t="s">
        <v>72</v>
      </c>
      <c r="B8" s="15" t="s">
        <v>241</v>
      </c>
      <c r="D8" s="16" t="s">
        <v>236</v>
      </c>
      <c r="E8" s="16" t="s">
        <v>237</v>
      </c>
      <c r="F8" s="16" t="s">
        <v>238</v>
      </c>
      <c r="G8" s="1">
        <v>1800000</v>
      </c>
      <c r="H8" s="1">
        <v>0</v>
      </c>
      <c r="I8" s="1">
        <v>0</v>
      </c>
      <c r="J8" s="17">
        <v>1800000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7">
        <v>0</v>
      </c>
      <c r="S8" s="15">
        <v>0</v>
      </c>
      <c r="T8" s="15">
        <v>0</v>
      </c>
      <c r="V8" s="15">
        <v>0</v>
      </c>
      <c r="W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7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Y8" s="15">
        <v>207500</v>
      </c>
      <c r="AZ8" s="15">
        <v>0</v>
      </c>
      <c r="BA8" s="15">
        <v>0</v>
      </c>
      <c r="BB8" s="15">
        <v>8300</v>
      </c>
      <c r="BC8" s="15">
        <v>0</v>
      </c>
      <c r="BF8" s="15">
        <v>0</v>
      </c>
      <c r="BI8" s="15" t="s">
        <v>239</v>
      </c>
      <c r="BW8" s="15" t="s">
        <v>239</v>
      </c>
      <c r="CK8" s="15" t="s">
        <v>239</v>
      </c>
      <c r="CS8" s="15" t="s">
        <v>240</v>
      </c>
      <c r="CT8" s="15">
        <v>0</v>
      </c>
      <c r="CU8" s="15">
        <v>0</v>
      </c>
      <c r="CX8" s="15">
        <v>37</v>
      </c>
    </row>
    <row r="9" spans="1:102" x14ac:dyDescent="0.2">
      <c r="A9" s="15" t="s">
        <v>110</v>
      </c>
      <c r="B9" s="15" t="s">
        <v>111</v>
      </c>
      <c r="D9" s="16" t="s">
        <v>236</v>
      </c>
      <c r="E9" s="16" t="s">
        <v>237</v>
      </c>
      <c r="F9" s="16" t="s">
        <v>238</v>
      </c>
      <c r="G9" s="1">
        <v>570500</v>
      </c>
      <c r="H9" s="1">
        <v>0</v>
      </c>
      <c r="I9" s="1">
        <v>0</v>
      </c>
      <c r="J9" s="17">
        <v>570500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7">
        <v>0</v>
      </c>
      <c r="S9" s="15">
        <v>0</v>
      </c>
      <c r="T9" s="15">
        <v>0</v>
      </c>
      <c r="V9" s="15">
        <v>0</v>
      </c>
      <c r="W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7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Y9" s="15">
        <v>9775</v>
      </c>
      <c r="AZ9" s="15">
        <v>9775</v>
      </c>
      <c r="BA9" s="15">
        <v>0</v>
      </c>
      <c r="BB9" s="15">
        <v>0</v>
      </c>
      <c r="BC9" s="15">
        <v>0</v>
      </c>
      <c r="BF9" s="15">
        <v>0</v>
      </c>
      <c r="BI9" s="15" t="s">
        <v>239</v>
      </c>
      <c r="BW9" s="15" t="s">
        <v>239</v>
      </c>
      <c r="CK9" s="15" t="s">
        <v>239</v>
      </c>
      <c r="CS9" s="15" t="s">
        <v>240</v>
      </c>
      <c r="CT9" s="15">
        <v>0</v>
      </c>
      <c r="CU9" s="15">
        <v>0</v>
      </c>
      <c r="CX9" s="15">
        <v>38</v>
      </c>
    </row>
    <row r="10" spans="1:102" x14ac:dyDescent="0.2">
      <c r="A10" s="15" t="s">
        <v>114</v>
      </c>
      <c r="B10" s="15" t="s">
        <v>115</v>
      </c>
      <c r="D10" s="16" t="s">
        <v>236</v>
      </c>
      <c r="E10" s="16" t="s">
        <v>237</v>
      </c>
      <c r="F10" s="16" t="s">
        <v>238</v>
      </c>
      <c r="G10" s="1">
        <v>60323</v>
      </c>
      <c r="H10" s="1">
        <v>0</v>
      </c>
      <c r="I10" s="1">
        <v>0</v>
      </c>
      <c r="J10" s="17">
        <v>60323</v>
      </c>
      <c r="K10" s="15">
        <v>132489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7">
        <v>0</v>
      </c>
      <c r="S10" s="15">
        <v>0</v>
      </c>
      <c r="T10" s="15">
        <v>0</v>
      </c>
      <c r="V10" s="15">
        <v>0</v>
      </c>
      <c r="W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7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F10" s="15">
        <v>8543</v>
      </c>
      <c r="BI10" s="15" t="s">
        <v>239</v>
      </c>
      <c r="BW10" s="15" t="s">
        <v>239</v>
      </c>
      <c r="CK10" s="15" t="s">
        <v>239</v>
      </c>
      <c r="CS10" s="15" t="s">
        <v>240</v>
      </c>
      <c r="CT10" s="15">
        <v>0</v>
      </c>
      <c r="CU10" s="15">
        <v>0</v>
      </c>
      <c r="CX10" s="15">
        <v>39</v>
      </c>
    </row>
    <row r="11" spans="1:102" x14ac:dyDescent="0.2">
      <c r="A11" s="15" t="s">
        <v>120</v>
      </c>
      <c r="B11" s="15" t="s">
        <v>121</v>
      </c>
      <c r="D11" s="16" t="s">
        <v>236</v>
      </c>
      <c r="E11" s="16" t="s">
        <v>237</v>
      </c>
      <c r="F11" s="16" t="s">
        <v>238</v>
      </c>
      <c r="G11" s="1">
        <v>840306</v>
      </c>
      <c r="H11" s="1">
        <v>0</v>
      </c>
      <c r="I11" s="1">
        <v>0</v>
      </c>
      <c r="J11" s="17">
        <v>840306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7">
        <v>0</v>
      </c>
      <c r="S11" s="15">
        <v>0</v>
      </c>
      <c r="T11" s="15">
        <v>0</v>
      </c>
      <c r="V11" s="15">
        <v>0</v>
      </c>
      <c r="W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7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Y11" s="15">
        <v>26531</v>
      </c>
      <c r="AZ11" s="15">
        <v>0</v>
      </c>
      <c r="BA11" s="15">
        <v>0</v>
      </c>
      <c r="BB11" s="15">
        <v>1061</v>
      </c>
      <c r="BC11" s="15">
        <v>0</v>
      </c>
      <c r="BF11" s="15">
        <v>0</v>
      </c>
      <c r="BI11" s="15" t="s">
        <v>239</v>
      </c>
      <c r="BW11" s="15" t="s">
        <v>239</v>
      </c>
      <c r="CK11" s="15" t="s">
        <v>239</v>
      </c>
      <c r="CS11" s="15" t="s">
        <v>240</v>
      </c>
      <c r="CT11" s="15">
        <v>0</v>
      </c>
      <c r="CU11" s="15">
        <v>0</v>
      </c>
      <c r="CX11" s="15">
        <v>40</v>
      </c>
    </row>
    <row r="12" spans="1:102" x14ac:dyDescent="0.2">
      <c r="A12" s="15" t="s">
        <v>116</v>
      </c>
      <c r="B12" s="15" t="s">
        <v>242</v>
      </c>
      <c r="D12" s="16" t="s">
        <v>236</v>
      </c>
      <c r="E12" s="16" t="s">
        <v>237</v>
      </c>
      <c r="F12" s="16" t="s">
        <v>238</v>
      </c>
      <c r="G12" s="1">
        <v>124354</v>
      </c>
      <c r="H12" s="1">
        <v>0</v>
      </c>
      <c r="I12" s="1">
        <v>0</v>
      </c>
      <c r="J12" s="17">
        <v>124354</v>
      </c>
      <c r="K12" s="15">
        <v>60167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7">
        <v>0</v>
      </c>
      <c r="S12" s="15">
        <v>0</v>
      </c>
      <c r="T12" s="15">
        <v>0</v>
      </c>
      <c r="V12" s="15">
        <v>0</v>
      </c>
      <c r="W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7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F12" s="15">
        <v>0</v>
      </c>
      <c r="BI12" s="15" t="s">
        <v>239</v>
      </c>
      <c r="BW12" s="15" t="s">
        <v>239</v>
      </c>
      <c r="CK12" s="15" t="s">
        <v>239</v>
      </c>
      <c r="CS12" s="15" t="s">
        <v>240</v>
      </c>
      <c r="CT12" s="15">
        <v>0</v>
      </c>
      <c r="CU12" s="15">
        <v>0</v>
      </c>
      <c r="CX12" s="15">
        <v>41</v>
      </c>
    </row>
    <row r="13" spans="1:102" x14ac:dyDescent="0.2">
      <c r="A13" s="15" t="s">
        <v>96</v>
      </c>
      <c r="B13" s="15" t="s">
        <v>97</v>
      </c>
      <c r="D13" s="16" t="s">
        <v>236</v>
      </c>
      <c r="E13" s="16" t="s">
        <v>237</v>
      </c>
      <c r="F13" s="16" t="s">
        <v>238</v>
      </c>
      <c r="G13" s="1">
        <v>858118</v>
      </c>
      <c r="H13" s="1">
        <v>0</v>
      </c>
      <c r="I13" s="1">
        <v>0</v>
      </c>
      <c r="J13" s="17">
        <v>858118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7">
        <v>0</v>
      </c>
      <c r="S13" s="15">
        <v>0</v>
      </c>
      <c r="T13" s="15">
        <v>0</v>
      </c>
      <c r="V13" s="15">
        <v>0</v>
      </c>
      <c r="W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7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Y13" s="15">
        <v>28312</v>
      </c>
      <c r="AZ13" s="15">
        <v>0</v>
      </c>
      <c r="BA13" s="15">
        <v>0</v>
      </c>
      <c r="BB13" s="15">
        <v>1132</v>
      </c>
      <c r="BC13" s="15">
        <v>0</v>
      </c>
      <c r="BF13" s="15">
        <v>0</v>
      </c>
      <c r="BI13" s="15" t="s">
        <v>239</v>
      </c>
      <c r="BW13" s="15" t="s">
        <v>239</v>
      </c>
      <c r="CK13" s="15" t="s">
        <v>239</v>
      </c>
      <c r="CS13" s="15" t="s">
        <v>240</v>
      </c>
      <c r="CT13" s="15">
        <v>0</v>
      </c>
      <c r="CU13" s="15">
        <v>0</v>
      </c>
      <c r="CX13" s="15">
        <v>42</v>
      </c>
    </row>
    <row r="14" spans="1:102" x14ac:dyDescent="0.2">
      <c r="A14" s="15" t="s">
        <v>90</v>
      </c>
      <c r="B14" s="15" t="s">
        <v>91</v>
      </c>
      <c r="D14" s="16" t="s">
        <v>236</v>
      </c>
      <c r="E14" s="16" t="s">
        <v>237</v>
      </c>
      <c r="F14" s="16" t="s">
        <v>238</v>
      </c>
      <c r="G14" s="1">
        <v>996662</v>
      </c>
      <c r="H14" s="1">
        <v>0</v>
      </c>
      <c r="I14" s="1">
        <v>0</v>
      </c>
      <c r="J14" s="17">
        <v>996662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7">
        <v>0</v>
      </c>
      <c r="S14" s="15">
        <v>0</v>
      </c>
      <c r="T14" s="15">
        <v>0</v>
      </c>
      <c r="V14" s="15">
        <v>0</v>
      </c>
      <c r="W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7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Y14" s="15">
        <v>42166</v>
      </c>
      <c r="AZ14" s="15">
        <v>0</v>
      </c>
      <c r="BA14" s="15">
        <v>0</v>
      </c>
      <c r="BB14" s="15">
        <v>1687</v>
      </c>
      <c r="BC14" s="15">
        <v>0</v>
      </c>
      <c r="BF14" s="15">
        <v>0</v>
      </c>
      <c r="BI14" s="15" t="s">
        <v>239</v>
      </c>
      <c r="BW14" s="15" t="s">
        <v>239</v>
      </c>
      <c r="CK14" s="15" t="s">
        <v>239</v>
      </c>
      <c r="CS14" s="15" t="s">
        <v>240</v>
      </c>
      <c r="CT14" s="15">
        <v>0</v>
      </c>
      <c r="CU14" s="15">
        <v>0</v>
      </c>
      <c r="CX14" s="15">
        <v>43</v>
      </c>
    </row>
  </sheetData>
  <sheetProtection password="FAD4" sheet="1" insertRows="0" autoFilter="0"/>
  <autoFilter ref="A4:BH14"/>
  <dataValidations count="10">
    <dataValidation allowBlank="1" sqref="D1 V1:W1 G3:J3 R3:U3 X3 AE3 AW3:AX3 BD3:BE3 BG3:BH3 CR3 D3:D4 V3:W4 A1:C4"/>
    <dataValidation type="date" allowBlank="1" showInputMessage="1" showErrorMessage="1" sqref="H1:T1 CT1:CU1 E1:G2">
      <formula1>38534</formula1>
      <formula2>38625</formula2>
    </dataValidation>
    <dataValidation type="textLength" operator="equal" allowBlank="1" showInputMessage="1" showErrorMessage="1" sqref="A5:A6 BK5:BK6 BN5:BN6 BQ5:BQ65536 BT5:BT65536 BY5:BY65536 CB5:CB65536 CE5:CE65536 CH5:CH65536">
      <formula1>10</formula1>
    </dataValidation>
    <dataValidation type="list" allowBlank="1" showInputMessage="1" showErrorMessage="1" sqref="D5:D65536">
      <formula1>"W - Woman,S - Senior Citizen,O - Super Senior Citizen,G - Other"</formula1>
    </dataValidation>
    <dataValidation type="list" allowBlank="1" showInputMessage="1" showErrorMessage="1" sqref="BI5:BI65536 BW5:BW65536 CK5:CK65536 CS5:CS65536">
      <formula1>"Y - Yes,N - No"</formula1>
    </dataValidation>
    <dataValidation type="list" allowBlank="1" showInputMessage="1" showErrorMessage="1" sqref="BJ5:BJ65536 BX5:BX65536">
      <formula1>"1,2,3,4"</formula1>
    </dataValidation>
    <dataValidation type="list" allowBlank="1" showInputMessage="1" showErrorMessage="1" sqref="BL5:BL65536 BO5:BO65536 BR5:BR65536 BU5:BU65536 BZ5:BZ65536 CC5:CC65536 CF5:CF65536 CI5:CI65536">
      <formula1>"G - GOVERNMENT,N - NONRESDENT,O - OTHERVALUE"</formula1>
    </dataValidation>
    <dataValidation type="textLength" operator="lessThanOrEqual" allowBlank="1" showInputMessage="1" showErrorMessage="1" sqref="BM5:BM6 BP5:BP65536 BS5:BS65536 BV5:BV65536 CA5:CA65536 CD5:CD65536 CG5:CG65536 CJ5:CJ65536 CL5:CL6">
      <formula1>75</formula1>
    </dataValidation>
    <dataValidation allowBlank="1" showInputMessage="1" showErrorMessage="1" promptTitle="Date Format" prompt="The date format must be dd/mm/yy and it must be within the starting date of financial year and current date._x000a_...PSPL" sqref="CM5:CN6"/>
    <dataValidation type="whole" allowBlank="1" showInputMessage="1" showErrorMessage="1" promptTitle="Amount Format" prompt="DO NOT enter comma (,) and Currency symbol._x000a_" sqref="CO5:CQ6">
      <formula1>0</formula1>
      <formula2>9999999999</formula2>
    </dataValidation>
  </dataValidations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topLeftCell="A3" workbookViewId="0">
      <selection activeCell="A5" sqref="A5"/>
    </sheetView>
  </sheetViews>
  <sheetFormatPr defaultColWidth="0" defaultRowHeight="12.75" x14ac:dyDescent="0.2"/>
  <cols>
    <col min="1" max="1" width="23.85546875" style="1" customWidth="1"/>
    <col min="2" max="2" width="23.28515625" style="1" customWidth="1"/>
    <col min="3" max="3" width="16" style="1" customWidth="1"/>
    <col min="4" max="4" width="10" style="1" customWidth="1"/>
    <col min="5" max="5" width="19.140625" style="1" customWidth="1"/>
    <col min="6" max="6" width="13.140625" style="1" customWidth="1"/>
    <col min="7" max="7" width="16.7109375" style="1" customWidth="1"/>
    <col min="8" max="8" width="20.42578125" style="1" customWidth="1"/>
    <col min="9" max="9" width="14.28515625" style="1" customWidth="1"/>
    <col min="10" max="12" width="11.28515625" style="1" customWidth="1"/>
    <col min="13" max="14" width="13.7109375" style="1" customWidth="1"/>
    <col min="15" max="15" width="13.85546875" style="1" customWidth="1"/>
    <col min="16" max="17" width="11.42578125" style="1" customWidth="1"/>
    <col min="18" max="18" width="13.42578125" style="1" customWidth="1"/>
    <col min="19" max="19" width="9.140625" style="1" customWidth="1"/>
    <col min="20" max="21" width="10.28515625" style="1" customWidth="1"/>
    <col min="22" max="22" width="12.85546875" style="1" customWidth="1"/>
    <col min="23" max="24" width="10.5703125" style="1" customWidth="1"/>
    <col min="25" max="25" width="10.85546875" style="1" customWidth="1"/>
    <col min="26" max="27" width="9.140625" style="1" customWidth="1"/>
    <col min="28" max="28" width="11.42578125" style="1" customWidth="1"/>
    <col min="29" max="30" width="10.140625" style="1" customWidth="1"/>
    <col min="31" max="31" width="12.28515625" style="1" customWidth="1"/>
    <col min="32" max="32" width="11.28515625" style="1" customWidth="1"/>
    <col min="33" max="33" width="11.5703125" style="1" customWidth="1"/>
    <col min="34" max="34" width="13" style="1" customWidth="1"/>
    <col min="35" max="35" width="10.42578125" style="1" customWidth="1"/>
    <col min="36" max="36" width="11.140625" style="1" customWidth="1"/>
    <col min="37" max="37" width="11.28515625" style="1" customWidth="1"/>
    <col min="38" max="38" width="9.140625" style="1" customWidth="1"/>
    <col min="39" max="39" width="12.5703125" style="1" customWidth="1"/>
    <col min="40" max="40" width="11.5703125" style="1" customWidth="1"/>
    <col min="41" max="47" width="9.140625" style="1" customWidth="1"/>
    <col min="48" max="48" width="11" style="1" customWidth="1"/>
    <col min="49" max="16384" width="0" style="2" hidden="1"/>
  </cols>
  <sheetData>
    <row r="1" spans="1:48" collapsed="1" x14ac:dyDescent="0.2">
      <c r="A1" s="2"/>
      <c r="B1" s="2"/>
      <c r="C1" s="2"/>
      <c r="D1" s="2"/>
      <c r="E1" s="3" t="s">
        <v>243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198" customHeight="1" x14ac:dyDescent="0.2">
      <c r="A2" s="4" t="s">
        <v>132</v>
      </c>
      <c r="B2" s="4" t="s">
        <v>29</v>
      </c>
      <c r="C2" s="5" t="s">
        <v>244</v>
      </c>
      <c r="D2" s="6" t="s">
        <v>213</v>
      </c>
      <c r="E2" s="4" t="s">
        <v>245</v>
      </c>
      <c r="F2" s="7" t="s">
        <v>149</v>
      </c>
      <c r="G2" s="7" t="s">
        <v>246</v>
      </c>
      <c r="H2" s="7" t="s">
        <v>247</v>
      </c>
      <c r="I2" s="7" t="s">
        <v>153</v>
      </c>
      <c r="J2" s="4" t="s">
        <v>154</v>
      </c>
      <c r="K2" s="4" t="s">
        <v>154</v>
      </c>
      <c r="L2" s="4" t="s">
        <v>154</v>
      </c>
      <c r="M2" s="4" t="s">
        <v>155</v>
      </c>
      <c r="N2" s="4" t="s">
        <v>155</v>
      </c>
      <c r="O2" s="4" t="s">
        <v>155</v>
      </c>
      <c r="P2" s="7" t="s">
        <v>156</v>
      </c>
      <c r="Q2" s="7" t="s">
        <v>156</v>
      </c>
      <c r="R2" s="7" t="s">
        <v>156</v>
      </c>
      <c r="S2" s="7" t="s">
        <v>157</v>
      </c>
      <c r="T2" s="7" t="s">
        <v>158</v>
      </c>
      <c r="U2" s="7" t="s">
        <v>158</v>
      </c>
      <c r="V2" s="7" t="s">
        <v>158</v>
      </c>
      <c r="W2" s="7" t="s">
        <v>159</v>
      </c>
      <c r="X2" s="7" t="s">
        <v>159</v>
      </c>
      <c r="Y2" s="7" t="s">
        <v>159</v>
      </c>
      <c r="Z2" s="7" t="s">
        <v>160</v>
      </c>
      <c r="AA2" s="7" t="s">
        <v>160</v>
      </c>
      <c r="AB2" s="7" t="s">
        <v>160</v>
      </c>
      <c r="AC2" s="7" t="s">
        <v>161</v>
      </c>
      <c r="AD2" s="7" t="s">
        <v>161</v>
      </c>
      <c r="AE2" s="7" t="s">
        <v>161</v>
      </c>
      <c r="AF2" s="7" t="s">
        <v>162</v>
      </c>
      <c r="AG2" s="7" t="s">
        <v>162</v>
      </c>
      <c r="AH2" s="7" t="s">
        <v>162</v>
      </c>
      <c r="AI2" s="7" t="s">
        <v>248</v>
      </c>
      <c r="AJ2" s="7" t="s">
        <v>248</v>
      </c>
      <c r="AK2" s="7" t="s">
        <v>248</v>
      </c>
      <c r="AL2" s="7" t="s">
        <v>164</v>
      </c>
      <c r="AM2" s="7" t="s">
        <v>164</v>
      </c>
      <c r="AN2" s="7" t="s">
        <v>164</v>
      </c>
      <c r="AO2" s="7" t="s">
        <v>249</v>
      </c>
      <c r="AP2" s="7" t="s">
        <v>166</v>
      </c>
      <c r="AQ2" s="7" t="s">
        <v>167</v>
      </c>
      <c r="AR2" s="7" t="s">
        <v>168</v>
      </c>
      <c r="AS2" s="7" t="s">
        <v>169</v>
      </c>
      <c r="AT2" s="7" t="s">
        <v>170</v>
      </c>
      <c r="AU2" s="7" t="s">
        <v>171</v>
      </c>
      <c r="AV2" s="7" t="s">
        <v>250</v>
      </c>
    </row>
    <row r="3" spans="1:48" ht="87" customHeight="1" x14ac:dyDescent="0.2">
      <c r="A3" s="8" t="s">
        <v>216</v>
      </c>
      <c r="B3" s="8" t="s">
        <v>216</v>
      </c>
      <c r="C3" s="8"/>
      <c r="D3" s="9"/>
      <c r="E3" s="8" t="s">
        <v>216</v>
      </c>
      <c r="F3" s="10"/>
      <c r="G3" s="11" t="s">
        <v>219</v>
      </c>
      <c r="H3" s="10"/>
      <c r="I3" s="11" t="s">
        <v>219</v>
      </c>
      <c r="J3" s="13" t="s">
        <v>220</v>
      </c>
      <c r="K3" s="13" t="s">
        <v>222</v>
      </c>
      <c r="L3" s="13" t="s">
        <v>221</v>
      </c>
      <c r="M3" s="13" t="s">
        <v>220</v>
      </c>
      <c r="N3" s="13" t="s">
        <v>222</v>
      </c>
      <c r="O3" s="13" t="s">
        <v>221</v>
      </c>
      <c r="P3" s="13" t="s">
        <v>220</v>
      </c>
      <c r="Q3" s="13" t="s">
        <v>222</v>
      </c>
      <c r="R3" s="13" t="s">
        <v>221</v>
      </c>
      <c r="S3" s="11" t="s">
        <v>219</v>
      </c>
      <c r="T3" s="13" t="s">
        <v>220</v>
      </c>
      <c r="U3" s="13" t="s">
        <v>222</v>
      </c>
      <c r="V3" s="13" t="s">
        <v>221</v>
      </c>
      <c r="W3" s="13" t="s">
        <v>220</v>
      </c>
      <c r="X3" s="13" t="s">
        <v>222</v>
      </c>
      <c r="Y3" s="13" t="s">
        <v>221</v>
      </c>
      <c r="Z3" s="13" t="s">
        <v>220</v>
      </c>
      <c r="AA3" s="13" t="s">
        <v>222</v>
      </c>
      <c r="AB3" s="13" t="s">
        <v>221</v>
      </c>
      <c r="AC3" s="13" t="s">
        <v>222</v>
      </c>
      <c r="AD3" s="13" t="s">
        <v>220</v>
      </c>
      <c r="AE3" s="13" t="s">
        <v>221</v>
      </c>
      <c r="AF3" s="13" t="s">
        <v>220</v>
      </c>
      <c r="AG3" s="13" t="s">
        <v>222</v>
      </c>
      <c r="AH3" s="13" t="s">
        <v>221</v>
      </c>
      <c r="AI3" s="13" t="s">
        <v>220</v>
      </c>
      <c r="AJ3" s="13" t="s">
        <v>222</v>
      </c>
      <c r="AK3" s="13" t="s">
        <v>221</v>
      </c>
      <c r="AL3" s="13" t="s">
        <v>220</v>
      </c>
      <c r="AM3" s="13" t="s">
        <v>222</v>
      </c>
      <c r="AN3" s="13" t="s">
        <v>221</v>
      </c>
      <c r="AO3" s="11" t="s">
        <v>219</v>
      </c>
      <c r="AP3" s="11" t="s">
        <v>219</v>
      </c>
      <c r="AQ3" s="10"/>
      <c r="AR3" s="10"/>
      <c r="AS3" s="10"/>
      <c r="AT3" s="10"/>
      <c r="AU3" s="10"/>
      <c r="AV3" s="11" t="s">
        <v>219</v>
      </c>
    </row>
    <row r="4" spans="1:48" x14ac:dyDescent="0.2">
      <c r="A4" s="8" t="s">
        <v>251</v>
      </c>
      <c r="B4" s="5" t="s">
        <v>252</v>
      </c>
      <c r="C4" s="8" t="s">
        <v>253</v>
      </c>
      <c r="D4" s="9" t="s">
        <v>254</v>
      </c>
      <c r="E4" s="4" t="s">
        <v>255</v>
      </c>
      <c r="F4" s="12" t="s">
        <v>256</v>
      </c>
      <c r="G4" s="12" t="s">
        <v>257</v>
      </c>
      <c r="H4" s="12" t="s">
        <v>258</v>
      </c>
      <c r="I4" s="12" t="s">
        <v>259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</sheetData>
  <sheetProtection password="FAD4" sheet="1" insertRows="0"/>
  <dataValidations count="2">
    <dataValidation allowBlank="1" sqref="D1 E2 E3:G3 I3 S3 AO3:AP3 AV3 A1:A1048576 B2:B3 C1:C4 H3:H4"/>
    <dataValidation type="list" allowBlank="1" showInputMessage="1" showErrorMessage="1" sqref="C5:C65536">
      <formula1>"S - Senior Citizen,O - Super Senior Citizen"</formula1>
    </dataValidation>
  </dataValidations>
  <pageMargins left="0.7" right="0.7" top="0.75" bottom="0.75" header="0.3" footer="0.3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Challan</vt:lpstr>
      <vt:lpstr>Challan_adjustment</vt:lpstr>
      <vt:lpstr>Employee_Salary_Detail</vt:lpstr>
      <vt:lpstr>Section194P(For Senior Citizen)</vt:lpstr>
      <vt:lpstr>BSR</vt:lpstr>
      <vt:lpstr>Ch_No</vt:lpstr>
      <vt:lpstr>Ch_SrNo</vt:lpstr>
      <vt:lpstr>CIN</vt:lpstr>
      <vt:lpstr>Date</vt:lpstr>
      <vt:lpstr>date_end</vt:lpstr>
      <vt:lpstr>date_start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cloudconvert_15</cp:lastModifiedBy>
  <dcterms:created xsi:type="dcterms:W3CDTF">2025-05-20T10:49:17Z</dcterms:created>
  <dcterms:modified xsi:type="dcterms:W3CDTF">2025-12-26T04:16:34Z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222433C253364F6EAEB5334DB474D5E1_13</vt:lpwstr>
  </property>
  <property fmtid="{D5CDD505-2E9C-101B-9397-08002B2CF9AE}" pid="3" name="KSOProductBuildVer">
    <vt:lpwstr>1033-12.2.0.21179</vt:lpwstr>
  </property>
</Properties>
</file>